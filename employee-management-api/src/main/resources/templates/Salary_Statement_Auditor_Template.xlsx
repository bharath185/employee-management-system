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Z:\My Folders\HR System Software Data\"/>
    </mc:Choice>
  </mc:AlternateContent>
  <xr:revisionPtr revIDLastSave="0" documentId="13_ncr:1_{16C92051-184D-44FA-A2D8-F25DDB65A8E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 Sep-26" sheetId="1" r:id="rId1"/>
    <sheet name="Sheet2" sheetId="3" state="hidden" r:id="rId2"/>
  </sheets>
  <definedNames>
    <definedName name="_xlnm._FilterDatabase" localSheetId="0" hidden="1">' Sep-26'!$A$5:$AC$205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99" i="1" l="1"/>
  <c r="N199" i="1"/>
  <c r="S199" i="1" s="1"/>
  <c r="W199" i="1" s="1"/>
  <c r="I199" i="1"/>
  <c r="Q198" i="1"/>
  <c r="N198" i="1"/>
  <c r="S198" i="1" s="1"/>
  <c r="W198" i="1" s="1"/>
  <c r="I198" i="1"/>
  <c r="Q197" i="1"/>
  <c r="N197" i="1"/>
  <c r="S197" i="1" s="1"/>
  <c r="W197" i="1" s="1"/>
  <c r="I197" i="1"/>
  <c r="Q195" i="1"/>
  <c r="N195" i="1"/>
  <c r="S195" i="1" s="1"/>
  <c r="W195" i="1" s="1"/>
  <c r="I195" i="1"/>
  <c r="Q194" i="1"/>
  <c r="N194" i="1"/>
  <c r="S194" i="1" s="1"/>
  <c r="W194" i="1" s="1"/>
  <c r="I194" i="1"/>
  <c r="Q193" i="1"/>
  <c r="N193" i="1"/>
  <c r="S193" i="1" s="1"/>
  <c r="W193" i="1" s="1"/>
  <c r="I193" i="1"/>
  <c r="Q192" i="1"/>
  <c r="N192" i="1"/>
  <c r="S192" i="1" s="1"/>
  <c r="W192" i="1" s="1"/>
  <c r="I192" i="1"/>
  <c r="Q191" i="1"/>
  <c r="N191" i="1"/>
  <c r="S191" i="1" s="1"/>
  <c r="W191" i="1" s="1"/>
  <c r="I191" i="1"/>
  <c r="Q190" i="1"/>
  <c r="N190" i="1"/>
  <c r="S190" i="1" s="1"/>
  <c r="W190" i="1" s="1"/>
  <c r="I190" i="1"/>
  <c r="S189" i="1"/>
  <c r="W189" i="1" s="1"/>
  <c r="Q189" i="1"/>
  <c r="N189" i="1"/>
  <c r="I189" i="1"/>
  <c r="Q188" i="1"/>
  <c r="N188" i="1"/>
  <c r="S188" i="1" s="1"/>
  <c r="W188" i="1" s="1"/>
  <c r="I188" i="1"/>
  <c r="Q187" i="1"/>
  <c r="N187" i="1"/>
  <c r="S187" i="1" s="1"/>
  <c r="W187" i="1" s="1"/>
  <c r="I187" i="1"/>
  <c r="S186" i="1"/>
  <c r="W186" i="1" s="1"/>
  <c r="Q186" i="1"/>
  <c r="N186" i="1"/>
  <c r="I186" i="1"/>
  <c r="Q185" i="1"/>
  <c r="N185" i="1"/>
  <c r="S185" i="1" s="1"/>
  <c r="W185" i="1" s="1"/>
  <c r="I185" i="1"/>
  <c r="Q184" i="1"/>
  <c r="N184" i="1"/>
  <c r="S184" i="1" s="1"/>
  <c r="W184" i="1" s="1"/>
  <c r="I184" i="1"/>
  <c r="Q183" i="1"/>
  <c r="N183" i="1"/>
  <c r="S183" i="1" s="1"/>
  <c r="W183" i="1" s="1"/>
  <c r="I183" i="1"/>
  <c r="Q182" i="1"/>
  <c r="N182" i="1"/>
  <c r="S182" i="1" s="1"/>
  <c r="W182" i="1" s="1"/>
  <c r="I182" i="1"/>
  <c r="W181" i="1"/>
  <c r="S181" i="1"/>
  <c r="Q181" i="1"/>
  <c r="N181" i="1"/>
  <c r="I181" i="1"/>
  <c r="Q180" i="1"/>
  <c r="N180" i="1"/>
  <c r="S180" i="1" s="1"/>
  <c r="W180" i="1" s="1"/>
  <c r="I180" i="1"/>
  <c r="Q179" i="1"/>
  <c r="N179" i="1"/>
  <c r="S179" i="1" s="1"/>
  <c r="W179" i="1" s="1"/>
  <c r="I179" i="1"/>
  <c r="Q178" i="1"/>
  <c r="N178" i="1"/>
  <c r="S178" i="1" s="1"/>
  <c r="W178" i="1" s="1"/>
  <c r="I178" i="1"/>
  <c r="Q177" i="1"/>
  <c r="N177" i="1"/>
  <c r="S177" i="1" s="1"/>
  <c r="W177" i="1" s="1"/>
  <c r="I177" i="1"/>
  <c r="W176" i="1"/>
  <c r="S176" i="1"/>
  <c r="Q176" i="1"/>
  <c r="N176" i="1"/>
  <c r="I176" i="1"/>
  <c r="Q175" i="1"/>
  <c r="N175" i="1"/>
  <c r="S175" i="1" s="1"/>
  <c r="W175" i="1" s="1"/>
  <c r="I175" i="1"/>
  <c r="Q174" i="1"/>
  <c r="N174" i="1"/>
  <c r="S174" i="1" s="1"/>
  <c r="W174" i="1" s="1"/>
  <c r="I174" i="1"/>
  <c r="Q173" i="1"/>
  <c r="N173" i="1"/>
  <c r="S173" i="1" s="1"/>
  <c r="W173" i="1" s="1"/>
  <c r="I173" i="1"/>
  <c r="Q172" i="1"/>
  <c r="N172" i="1"/>
  <c r="S172" i="1" s="1"/>
  <c r="W172" i="1" s="1"/>
  <c r="I172" i="1"/>
  <c r="Q171" i="1"/>
  <c r="N171" i="1"/>
  <c r="S171" i="1" s="1"/>
  <c r="W171" i="1" s="1"/>
  <c r="I171" i="1"/>
  <c r="Q170" i="1"/>
  <c r="N170" i="1"/>
  <c r="S170" i="1" s="1"/>
  <c r="W170" i="1" s="1"/>
  <c r="I170" i="1"/>
  <c r="Q169" i="1"/>
  <c r="N169" i="1"/>
  <c r="S169" i="1" s="1"/>
  <c r="W169" i="1" s="1"/>
  <c r="I169" i="1"/>
  <c r="Q168" i="1"/>
  <c r="N168" i="1"/>
  <c r="S168" i="1" s="1"/>
  <c r="W168" i="1" s="1"/>
  <c r="I168" i="1"/>
  <c r="Q167" i="1"/>
  <c r="N167" i="1"/>
  <c r="S167" i="1" s="1"/>
  <c r="W167" i="1" s="1"/>
  <c r="I167" i="1"/>
  <c r="Q166" i="1"/>
  <c r="N166" i="1"/>
  <c r="S166" i="1" s="1"/>
  <c r="W166" i="1" s="1"/>
  <c r="I166" i="1"/>
  <c r="S165" i="1"/>
  <c r="W165" i="1" s="1"/>
  <c r="Q165" i="1"/>
  <c r="N165" i="1"/>
  <c r="I165" i="1"/>
  <c r="Q164" i="1"/>
  <c r="N164" i="1"/>
  <c r="S164" i="1" s="1"/>
  <c r="W164" i="1" s="1"/>
  <c r="I164" i="1"/>
  <c r="Q163" i="1"/>
  <c r="N163" i="1"/>
  <c r="S163" i="1" s="1"/>
  <c r="W163" i="1" s="1"/>
  <c r="I163" i="1"/>
  <c r="S162" i="1"/>
  <c r="W162" i="1" s="1"/>
  <c r="Q162" i="1"/>
  <c r="N162" i="1"/>
  <c r="I162" i="1"/>
  <c r="Q161" i="1"/>
  <c r="N161" i="1"/>
  <c r="S161" i="1" s="1"/>
  <c r="W161" i="1" s="1"/>
  <c r="I161" i="1"/>
  <c r="Q160" i="1"/>
  <c r="N160" i="1"/>
  <c r="S160" i="1" s="1"/>
  <c r="W160" i="1" s="1"/>
  <c r="I160" i="1"/>
  <c r="Q159" i="1"/>
  <c r="N159" i="1"/>
  <c r="S159" i="1" s="1"/>
  <c r="W159" i="1" s="1"/>
  <c r="I159" i="1"/>
  <c r="Q158" i="1"/>
  <c r="N158" i="1"/>
  <c r="S158" i="1" s="1"/>
  <c r="W158" i="1" s="1"/>
  <c r="I158" i="1"/>
  <c r="S157" i="1"/>
  <c r="W157" i="1" s="1"/>
  <c r="Q157" i="1"/>
  <c r="N157" i="1"/>
  <c r="I157" i="1"/>
  <c r="Q156" i="1"/>
  <c r="N156" i="1"/>
  <c r="S156" i="1" s="1"/>
  <c r="W156" i="1" s="1"/>
  <c r="I156" i="1"/>
  <c r="Q155" i="1"/>
  <c r="N155" i="1"/>
  <c r="S155" i="1" s="1"/>
  <c r="W155" i="1" s="1"/>
  <c r="I155" i="1"/>
  <c r="Q154" i="1"/>
  <c r="N154" i="1"/>
  <c r="S154" i="1" s="1"/>
  <c r="W154" i="1" s="1"/>
  <c r="I154" i="1"/>
  <c r="Q153" i="1"/>
  <c r="N153" i="1"/>
  <c r="S153" i="1" s="1"/>
  <c r="W153" i="1" s="1"/>
  <c r="I153" i="1"/>
  <c r="Q152" i="1"/>
  <c r="N152" i="1"/>
  <c r="S152" i="1" s="1"/>
  <c r="W152" i="1" s="1"/>
  <c r="I152" i="1"/>
  <c r="Q151" i="1"/>
  <c r="N151" i="1"/>
  <c r="S151" i="1" s="1"/>
  <c r="W151" i="1" s="1"/>
  <c r="I151" i="1"/>
  <c r="Q150" i="1"/>
  <c r="N150" i="1"/>
  <c r="S150" i="1" s="1"/>
  <c r="W150" i="1" s="1"/>
  <c r="I150" i="1"/>
  <c r="Q149" i="1"/>
  <c r="N149" i="1"/>
  <c r="S149" i="1" s="1"/>
  <c r="W149" i="1" s="1"/>
  <c r="I149" i="1"/>
  <c r="Q148" i="1"/>
  <c r="N148" i="1"/>
  <c r="S148" i="1" s="1"/>
  <c r="W148" i="1" s="1"/>
  <c r="I148" i="1"/>
  <c r="Q147" i="1"/>
  <c r="N147" i="1"/>
  <c r="S147" i="1" s="1"/>
  <c r="W147" i="1" s="1"/>
  <c r="I147" i="1"/>
  <c r="Q146" i="1"/>
  <c r="N146" i="1"/>
  <c r="S146" i="1" s="1"/>
  <c r="W146" i="1" s="1"/>
  <c r="I146" i="1"/>
  <c r="Q145" i="1"/>
  <c r="N145" i="1"/>
  <c r="S145" i="1" s="1"/>
  <c r="W145" i="1" s="1"/>
  <c r="I145" i="1"/>
  <c r="Q144" i="1"/>
  <c r="N144" i="1"/>
  <c r="S144" i="1" s="1"/>
  <c r="W144" i="1" s="1"/>
  <c r="I144" i="1"/>
  <c r="Q143" i="1"/>
  <c r="N143" i="1"/>
  <c r="S143" i="1" s="1"/>
  <c r="W143" i="1" s="1"/>
  <c r="I143" i="1"/>
  <c r="Q142" i="1"/>
  <c r="N142" i="1"/>
  <c r="S142" i="1" s="1"/>
  <c r="W142" i="1" s="1"/>
  <c r="I142" i="1"/>
  <c r="S141" i="1"/>
  <c r="W141" i="1" s="1"/>
  <c r="Q141" i="1"/>
  <c r="N141" i="1"/>
  <c r="I141" i="1"/>
  <c r="Q140" i="1"/>
  <c r="N140" i="1"/>
  <c r="S140" i="1" s="1"/>
  <c r="W140" i="1" s="1"/>
  <c r="I140" i="1"/>
  <c r="Q139" i="1"/>
  <c r="N139" i="1"/>
  <c r="S139" i="1" s="1"/>
  <c r="W139" i="1" s="1"/>
  <c r="I139" i="1"/>
  <c r="S138" i="1"/>
  <c r="W138" i="1" s="1"/>
  <c r="Q138" i="1"/>
  <c r="N138" i="1"/>
  <c r="I138" i="1"/>
  <c r="Q137" i="1"/>
  <c r="N137" i="1"/>
  <c r="S137" i="1" s="1"/>
  <c r="W137" i="1" s="1"/>
  <c r="I137" i="1"/>
  <c r="Q136" i="1"/>
  <c r="N136" i="1"/>
  <c r="S136" i="1" s="1"/>
  <c r="W136" i="1" s="1"/>
  <c r="I136" i="1"/>
  <c r="Q135" i="1"/>
  <c r="N135" i="1"/>
  <c r="S135" i="1" s="1"/>
  <c r="W135" i="1" s="1"/>
  <c r="I135" i="1"/>
  <c r="Q134" i="1"/>
  <c r="N134" i="1"/>
  <c r="S134" i="1" s="1"/>
  <c r="W134" i="1" s="1"/>
  <c r="I134" i="1"/>
  <c r="S133" i="1"/>
  <c r="W133" i="1" s="1"/>
  <c r="Q133" i="1"/>
  <c r="N133" i="1"/>
  <c r="I133" i="1"/>
  <c r="Q132" i="1"/>
  <c r="N132" i="1"/>
  <c r="S132" i="1" s="1"/>
  <c r="W132" i="1" s="1"/>
  <c r="I132" i="1"/>
  <c r="Q131" i="1"/>
  <c r="N131" i="1"/>
  <c r="S131" i="1" s="1"/>
  <c r="W131" i="1" s="1"/>
  <c r="I131" i="1"/>
  <c r="Q130" i="1"/>
  <c r="N130" i="1"/>
  <c r="S130" i="1" s="1"/>
  <c r="W130" i="1" s="1"/>
  <c r="I130" i="1"/>
  <c r="Q129" i="1"/>
  <c r="N129" i="1"/>
  <c r="S129" i="1" s="1"/>
  <c r="W129" i="1" s="1"/>
  <c r="I129" i="1"/>
  <c r="Q128" i="1"/>
  <c r="N128" i="1"/>
  <c r="S128" i="1" s="1"/>
  <c r="W128" i="1" s="1"/>
  <c r="I128" i="1"/>
  <c r="Q127" i="1"/>
  <c r="N127" i="1"/>
  <c r="S127" i="1" s="1"/>
  <c r="W127" i="1" s="1"/>
  <c r="I127" i="1"/>
  <c r="Q126" i="1"/>
  <c r="N126" i="1"/>
  <c r="S126" i="1" s="1"/>
  <c r="W126" i="1" s="1"/>
  <c r="I126" i="1"/>
  <c r="Q125" i="1"/>
  <c r="N125" i="1"/>
  <c r="S125" i="1" s="1"/>
  <c r="W125" i="1" s="1"/>
  <c r="I125" i="1"/>
  <c r="Q124" i="1"/>
  <c r="N124" i="1"/>
  <c r="S124" i="1" s="1"/>
  <c r="W124" i="1" s="1"/>
  <c r="I124" i="1"/>
  <c r="Q123" i="1"/>
  <c r="N123" i="1"/>
  <c r="S123" i="1" s="1"/>
  <c r="W123" i="1" s="1"/>
  <c r="I123" i="1"/>
  <c r="Q122" i="1"/>
  <c r="N122" i="1"/>
  <c r="S122" i="1" s="1"/>
  <c r="W122" i="1" s="1"/>
  <c r="I122" i="1"/>
  <c r="Q121" i="1"/>
  <c r="N121" i="1"/>
  <c r="S121" i="1" s="1"/>
  <c r="W121" i="1" s="1"/>
  <c r="I121" i="1"/>
  <c r="Q120" i="1"/>
  <c r="N120" i="1"/>
  <c r="S120" i="1" s="1"/>
  <c r="W120" i="1" s="1"/>
  <c r="I120" i="1"/>
  <c r="S119" i="1"/>
  <c r="W119" i="1" s="1"/>
  <c r="Q119" i="1"/>
  <c r="N119" i="1"/>
  <c r="I119" i="1"/>
  <c r="Q118" i="1"/>
  <c r="N118" i="1"/>
  <c r="S118" i="1" s="1"/>
  <c r="W118" i="1" s="1"/>
  <c r="I118" i="1"/>
  <c r="S117" i="1"/>
  <c r="W117" i="1" s="1"/>
  <c r="Q117" i="1"/>
  <c r="N117" i="1"/>
  <c r="I117" i="1"/>
  <c r="Q116" i="1"/>
  <c r="N116" i="1"/>
  <c r="S116" i="1" s="1"/>
  <c r="W116" i="1" s="1"/>
  <c r="I116" i="1"/>
  <c r="Q115" i="1"/>
  <c r="N115" i="1"/>
  <c r="S115" i="1" s="1"/>
  <c r="W115" i="1" s="1"/>
  <c r="I115" i="1"/>
  <c r="S114" i="1"/>
  <c r="W114" i="1" s="1"/>
  <c r="Q114" i="1"/>
  <c r="N114" i="1"/>
  <c r="I114" i="1"/>
  <c r="Q113" i="1"/>
  <c r="N113" i="1"/>
  <c r="S113" i="1" s="1"/>
  <c r="W113" i="1" s="1"/>
  <c r="I113" i="1"/>
  <c r="Q112" i="1"/>
  <c r="N112" i="1"/>
  <c r="S112" i="1" s="1"/>
  <c r="W112" i="1" s="1"/>
  <c r="I112" i="1"/>
  <c r="Q111" i="1"/>
  <c r="N111" i="1"/>
  <c r="S111" i="1" s="1"/>
  <c r="W111" i="1" s="1"/>
  <c r="I111" i="1"/>
  <c r="Q110" i="1"/>
  <c r="N110" i="1"/>
  <c r="S110" i="1" s="1"/>
  <c r="W110" i="1" s="1"/>
  <c r="I110" i="1"/>
  <c r="S109" i="1"/>
  <c r="W109" i="1" s="1"/>
  <c r="Q109" i="1"/>
  <c r="N109" i="1"/>
  <c r="I109" i="1"/>
  <c r="Q108" i="1"/>
  <c r="N108" i="1"/>
  <c r="S108" i="1" s="1"/>
  <c r="W108" i="1" s="1"/>
  <c r="I108" i="1"/>
  <c r="Q107" i="1"/>
  <c r="N107" i="1"/>
  <c r="S107" i="1" s="1"/>
  <c r="W107" i="1" s="1"/>
  <c r="I107" i="1"/>
  <c r="Q106" i="1"/>
  <c r="N106" i="1"/>
  <c r="S106" i="1" s="1"/>
  <c r="W106" i="1" s="1"/>
  <c r="I106" i="1"/>
  <c r="S105" i="1"/>
  <c r="W105" i="1" s="1"/>
  <c r="Q105" i="1"/>
  <c r="N105" i="1"/>
  <c r="I105" i="1"/>
  <c r="Q104" i="1"/>
  <c r="N104" i="1"/>
  <c r="S104" i="1" s="1"/>
  <c r="W104" i="1" s="1"/>
  <c r="I104" i="1"/>
  <c r="Q103" i="1"/>
  <c r="N103" i="1"/>
  <c r="S103" i="1" s="1"/>
  <c r="W103" i="1" s="1"/>
  <c r="I103" i="1"/>
  <c r="Q102" i="1"/>
  <c r="N102" i="1"/>
  <c r="S102" i="1" s="1"/>
  <c r="W102" i="1" s="1"/>
  <c r="I102" i="1"/>
  <c r="Q101" i="1"/>
  <c r="N101" i="1"/>
  <c r="S101" i="1" s="1"/>
  <c r="W101" i="1" s="1"/>
  <c r="I101" i="1"/>
  <c r="Q100" i="1"/>
  <c r="N100" i="1"/>
  <c r="S100" i="1" s="1"/>
  <c r="W100" i="1" s="1"/>
  <c r="I100" i="1"/>
  <c r="Q99" i="1"/>
  <c r="N99" i="1"/>
  <c r="S99" i="1" s="1"/>
  <c r="W99" i="1" s="1"/>
  <c r="I99" i="1"/>
  <c r="Q98" i="1"/>
  <c r="N98" i="1"/>
  <c r="S98" i="1" s="1"/>
  <c r="W98" i="1" s="1"/>
  <c r="I98" i="1"/>
  <c r="Q97" i="1"/>
  <c r="N97" i="1"/>
  <c r="S97" i="1" s="1"/>
  <c r="W97" i="1" s="1"/>
  <c r="I97" i="1"/>
  <c r="Q96" i="1"/>
  <c r="N96" i="1"/>
  <c r="S96" i="1" s="1"/>
  <c r="W96" i="1" s="1"/>
  <c r="I96" i="1"/>
  <c r="Q95" i="1"/>
  <c r="N95" i="1"/>
  <c r="S95" i="1" s="1"/>
  <c r="W95" i="1" s="1"/>
  <c r="I95" i="1"/>
  <c r="Q94" i="1"/>
  <c r="N94" i="1"/>
  <c r="S94" i="1" s="1"/>
  <c r="W94" i="1" s="1"/>
  <c r="I94" i="1"/>
  <c r="S93" i="1"/>
  <c r="W93" i="1" s="1"/>
  <c r="Q93" i="1"/>
  <c r="N93" i="1"/>
  <c r="I93" i="1"/>
  <c r="Q92" i="1"/>
  <c r="N92" i="1"/>
  <c r="S92" i="1" s="1"/>
  <c r="W92" i="1" s="1"/>
  <c r="I92" i="1"/>
  <c r="Q91" i="1"/>
  <c r="N91" i="1"/>
  <c r="S91" i="1" s="1"/>
  <c r="W91" i="1" s="1"/>
  <c r="I91" i="1"/>
  <c r="S90" i="1"/>
  <c r="W90" i="1" s="1"/>
  <c r="Q90" i="1"/>
  <c r="N90" i="1"/>
  <c r="I90" i="1"/>
  <c r="Q89" i="1"/>
  <c r="N89" i="1"/>
  <c r="S89" i="1" s="1"/>
  <c r="W89" i="1" s="1"/>
  <c r="I89" i="1"/>
  <c r="Q88" i="1"/>
  <c r="N88" i="1"/>
  <c r="S88" i="1" s="1"/>
  <c r="W88" i="1" s="1"/>
  <c r="I88" i="1"/>
  <c r="Q87" i="1"/>
  <c r="N87" i="1"/>
  <c r="S87" i="1" s="1"/>
  <c r="W87" i="1" s="1"/>
  <c r="I87" i="1"/>
  <c r="Q86" i="1"/>
  <c r="N86" i="1"/>
  <c r="S86" i="1" s="1"/>
  <c r="W86" i="1" s="1"/>
  <c r="I86" i="1"/>
  <c r="S85" i="1"/>
  <c r="W85" i="1" s="1"/>
  <c r="Q85" i="1"/>
  <c r="N85" i="1"/>
  <c r="I85" i="1"/>
  <c r="Q84" i="1"/>
  <c r="N84" i="1"/>
  <c r="S84" i="1" s="1"/>
  <c r="W84" i="1" s="1"/>
  <c r="I84" i="1"/>
  <c r="Q83" i="1"/>
  <c r="N83" i="1"/>
  <c r="S83" i="1" s="1"/>
  <c r="W83" i="1" s="1"/>
  <c r="I83" i="1"/>
  <c r="Q82" i="1"/>
  <c r="N82" i="1"/>
  <c r="S82" i="1" s="1"/>
  <c r="W82" i="1" s="1"/>
  <c r="I82" i="1"/>
  <c r="Q81" i="1"/>
  <c r="N81" i="1"/>
  <c r="S81" i="1" s="1"/>
  <c r="W81" i="1" s="1"/>
  <c r="I81" i="1"/>
  <c r="Q80" i="1"/>
  <c r="N80" i="1"/>
  <c r="S80" i="1" s="1"/>
  <c r="W80" i="1" s="1"/>
  <c r="I80" i="1"/>
  <c r="Q79" i="1"/>
  <c r="N79" i="1"/>
  <c r="S79" i="1" s="1"/>
  <c r="W79" i="1" s="1"/>
  <c r="I79" i="1"/>
  <c r="Q78" i="1"/>
  <c r="N78" i="1"/>
  <c r="S78" i="1" s="1"/>
  <c r="W78" i="1" s="1"/>
  <c r="I78" i="1"/>
  <c r="Q77" i="1"/>
  <c r="N77" i="1"/>
  <c r="S77" i="1" s="1"/>
  <c r="W77" i="1" s="1"/>
  <c r="I77" i="1"/>
  <c r="Q76" i="1"/>
  <c r="N76" i="1"/>
  <c r="S76" i="1" s="1"/>
  <c r="W76" i="1" s="1"/>
  <c r="I76" i="1"/>
  <c r="Q75" i="1"/>
  <c r="N75" i="1"/>
  <c r="S75" i="1" s="1"/>
  <c r="W75" i="1" s="1"/>
  <c r="I75" i="1"/>
  <c r="Q74" i="1"/>
  <c r="N74" i="1"/>
  <c r="S74" i="1" s="1"/>
  <c r="W74" i="1" s="1"/>
  <c r="I74" i="1"/>
  <c r="Q73" i="1"/>
  <c r="N73" i="1"/>
  <c r="S73" i="1" s="1"/>
  <c r="W73" i="1" s="1"/>
  <c r="I73" i="1"/>
  <c r="Q72" i="1"/>
  <c r="N72" i="1"/>
  <c r="S72" i="1" s="1"/>
  <c r="W72" i="1" s="1"/>
  <c r="I72" i="1"/>
  <c r="Q71" i="1"/>
  <c r="N71" i="1"/>
  <c r="S71" i="1" s="1"/>
  <c r="W71" i="1" s="1"/>
  <c r="I71" i="1"/>
  <c r="Q70" i="1"/>
  <c r="N70" i="1"/>
  <c r="S70" i="1" s="1"/>
  <c r="W70" i="1" s="1"/>
  <c r="I70" i="1"/>
  <c r="S69" i="1"/>
  <c r="W69" i="1" s="1"/>
  <c r="Q69" i="1"/>
  <c r="N69" i="1"/>
  <c r="I69" i="1"/>
  <c r="Q68" i="1"/>
  <c r="N68" i="1"/>
  <c r="S68" i="1" s="1"/>
  <c r="W68" i="1" s="1"/>
  <c r="I68" i="1"/>
  <c r="Q67" i="1"/>
  <c r="N67" i="1"/>
  <c r="S67" i="1" s="1"/>
  <c r="W67" i="1" s="1"/>
  <c r="I67" i="1"/>
  <c r="S66" i="1"/>
  <c r="W66" i="1" s="1"/>
  <c r="Q66" i="1"/>
  <c r="N66" i="1"/>
  <c r="I66" i="1"/>
  <c r="Q65" i="1"/>
  <c r="N65" i="1"/>
  <c r="S65" i="1" s="1"/>
  <c r="W65" i="1" s="1"/>
  <c r="I65" i="1"/>
  <c r="Q64" i="1"/>
  <c r="N64" i="1"/>
  <c r="S64" i="1" s="1"/>
  <c r="W64" i="1" s="1"/>
  <c r="I64" i="1"/>
  <c r="Q63" i="1"/>
  <c r="N63" i="1"/>
  <c r="S63" i="1" s="1"/>
  <c r="W63" i="1" s="1"/>
  <c r="I63" i="1"/>
  <c r="Q62" i="1"/>
  <c r="N62" i="1"/>
  <c r="S62" i="1" s="1"/>
  <c r="W62" i="1" s="1"/>
  <c r="I62" i="1"/>
  <c r="S61" i="1"/>
  <c r="W61" i="1" s="1"/>
  <c r="Q61" i="1"/>
  <c r="N61" i="1"/>
  <c r="I61" i="1"/>
  <c r="Q60" i="1"/>
  <c r="N60" i="1"/>
  <c r="S60" i="1" s="1"/>
  <c r="W60" i="1" s="1"/>
  <c r="I60" i="1"/>
  <c r="Q59" i="1"/>
  <c r="N59" i="1"/>
  <c r="S59" i="1" s="1"/>
  <c r="W59" i="1" s="1"/>
  <c r="I59" i="1"/>
  <c r="Q58" i="1"/>
  <c r="N58" i="1"/>
  <c r="S58" i="1" s="1"/>
  <c r="W58" i="1" s="1"/>
  <c r="I58" i="1"/>
  <c r="S57" i="1"/>
  <c r="W57" i="1" s="1"/>
  <c r="Q57" i="1"/>
  <c r="N57" i="1"/>
  <c r="I57" i="1"/>
  <c r="Q56" i="1"/>
  <c r="N56" i="1"/>
  <c r="S56" i="1" s="1"/>
  <c r="W56" i="1" s="1"/>
  <c r="I56" i="1"/>
  <c r="Q55" i="1"/>
  <c r="N55" i="1"/>
  <c r="S55" i="1" s="1"/>
  <c r="W55" i="1" s="1"/>
  <c r="I55" i="1"/>
  <c r="Q54" i="1"/>
  <c r="N54" i="1"/>
  <c r="S54" i="1" s="1"/>
  <c r="W54" i="1" s="1"/>
  <c r="I54" i="1"/>
  <c r="Q53" i="1"/>
  <c r="N53" i="1"/>
  <c r="S53" i="1" s="1"/>
  <c r="W53" i="1" s="1"/>
  <c r="I53" i="1"/>
  <c r="Q52" i="1"/>
  <c r="N52" i="1"/>
  <c r="S52" i="1" s="1"/>
  <c r="W52" i="1" s="1"/>
  <c r="I52" i="1"/>
  <c r="Q51" i="1"/>
  <c r="N51" i="1"/>
  <c r="S51" i="1" s="1"/>
  <c r="W51" i="1" s="1"/>
  <c r="I51" i="1"/>
  <c r="Q50" i="1"/>
  <c r="N50" i="1"/>
  <c r="S50" i="1" s="1"/>
  <c r="W50" i="1" s="1"/>
  <c r="I50" i="1"/>
  <c r="Q49" i="1"/>
  <c r="N49" i="1"/>
  <c r="S49" i="1" s="1"/>
  <c r="W49" i="1" s="1"/>
  <c r="I49" i="1"/>
  <c r="Q48" i="1"/>
  <c r="N48" i="1"/>
  <c r="S48" i="1" s="1"/>
  <c r="W48" i="1" s="1"/>
  <c r="I48" i="1"/>
  <c r="Q47" i="1"/>
  <c r="N47" i="1"/>
  <c r="S47" i="1" s="1"/>
  <c r="W47" i="1" s="1"/>
  <c r="I47" i="1"/>
  <c r="Q46" i="1"/>
  <c r="N46" i="1"/>
  <c r="S46" i="1" s="1"/>
  <c r="W46" i="1" s="1"/>
  <c r="I46" i="1"/>
  <c r="S45" i="1"/>
  <c r="W45" i="1" s="1"/>
  <c r="Q45" i="1"/>
  <c r="N45" i="1"/>
  <c r="I45" i="1"/>
  <c r="Q44" i="1"/>
  <c r="N44" i="1"/>
  <c r="S44" i="1" s="1"/>
  <c r="W44" i="1" s="1"/>
  <c r="I44" i="1"/>
  <c r="Q43" i="1"/>
  <c r="N43" i="1"/>
  <c r="S43" i="1" s="1"/>
  <c r="W43" i="1" s="1"/>
  <c r="I43" i="1"/>
  <c r="S42" i="1"/>
  <c r="W42" i="1" s="1"/>
  <c r="Q42" i="1"/>
  <c r="N42" i="1"/>
  <c r="I42" i="1"/>
  <c r="Q41" i="1"/>
  <c r="N41" i="1"/>
  <c r="S41" i="1" s="1"/>
  <c r="W41" i="1" s="1"/>
  <c r="I41" i="1"/>
  <c r="Q40" i="1"/>
  <c r="N40" i="1"/>
  <c r="S40" i="1" s="1"/>
  <c r="W40" i="1" s="1"/>
  <c r="I40" i="1"/>
  <c r="Q39" i="1"/>
  <c r="N39" i="1"/>
  <c r="S39" i="1" s="1"/>
  <c r="W39" i="1" s="1"/>
  <c r="I39" i="1"/>
  <c r="Q38" i="1"/>
  <c r="N38" i="1"/>
  <c r="S38" i="1" s="1"/>
  <c r="W38" i="1" s="1"/>
  <c r="I38" i="1"/>
  <c r="S37" i="1"/>
  <c r="W37" i="1" s="1"/>
  <c r="Q37" i="1"/>
  <c r="N37" i="1"/>
  <c r="I37" i="1"/>
  <c r="Q36" i="1"/>
  <c r="N36" i="1"/>
  <c r="S36" i="1" s="1"/>
  <c r="W36" i="1" s="1"/>
  <c r="I36" i="1"/>
  <c r="Q35" i="1"/>
  <c r="N35" i="1"/>
  <c r="S35" i="1" s="1"/>
  <c r="W35" i="1" s="1"/>
  <c r="I35" i="1"/>
  <c r="Q34" i="1"/>
  <c r="N34" i="1"/>
  <c r="S34" i="1" s="1"/>
  <c r="W34" i="1" s="1"/>
  <c r="I34" i="1"/>
  <c r="Q33" i="1"/>
  <c r="N33" i="1"/>
  <c r="S33" i="1" s="1"/>
  <c r="W33" i="1" s="1"/>
  <c r="I33" i="1"/>
  <c r="Q32" i="1"/>
  <c r="N32" i="1"/>
  <c r="S32" i="1" s="1"/>
  <c r="W32" i="1" s="1"/>
  <c r="I32" i="1"/>
  <c r="Q31" i="1"/>
  <c r="N31" i="1"/>
  <c r="S31" i="1" s="1"/>
  <c r="W31" i="1" s="1"/>
  <c r="I31" i="1"/>
  <c r="Q30" i="1"/>
  <c r="N30" i="1"/>
  <c r="S30" i="1" s="1"/>
  <c r="W30" i="1" s="1"/>
  <c r="I30" i="1"/>
  <c r="Q29" i="1"/>
  <c r="N29" i="1"/>
  <c r="S29" i="1" s="1"/>
  <c r="W29" i="1" s="1"/>
  <c r="I29" i="1"/>
  <c r="Q28" i="1"/>
  <c r="N28" i="1"/>
  <c r="S28" i="1" s="1"/>
  <c r="W28" i="1" s="1"/>
  <c r="I28" i="1"/>
  <c r="Q27" i="1"/>
  <c r="N27" i="1"/>
  <c r="S27" i="1" s="1"/>
  <c r="W27" i="1" s="1"/>
  <c r="I27" i="1"/>
  <c r="Q26" i="1"/>
  <c r="N26" i="1"/>
  <c r="S26" i="1" s="1"/>
  <c r="W26" i="1" s="1"/>
  <c r="I26" i="1"/>
  <c r="Q25" i="1"/>
  <c r="N25" i="1"/>
  <c r="S25" i="1" s="1"/>
  <c r="W25" i="1" s="1"/>
  <c r="I25" i="1"/>
  <c r="Q24" i="1"/>
  <c r="N24" i="1"/>
  <c r="S24" i="1" s="1"/>
  <c r="W24" i="1" s="1"/>
  <c r="I24" i="1"/>
  <c r="Q23" i="1"/>
  <c r="N23" i="1"/>
  <c r="S23" i="1" s="1"/>
  <c r="W23" i="1" s="1"/>
  <c r="I23" i="1"/>
  <c r="Q22" i="1"/>
  <c r="N22" i="1"/>
  <c r="S22" i="1" s="1"/>
  <c r="W22" i="1" s="1"/>
  <c r="I22" i="1"/>
  <c r="S21" i="1"/>
  <c r="W21" i="1" s="1"/>
  <c r="Q21" i="1"/>
  <c r="N21" i="1"/>
  <c r="I21" i="1"/>
  <c r="Q20" i="1"/>
  <c r="N20" i="1"/>
  <c r="S20" i="1" s="1"/>
  <c r="W20" i="1" s="1"/>
  <c r="I20" i="1"/>
  <c r="Q19" i="1"/>
  <c r="N19" i="1"/>
  <c r="S19" i="1" s="1"/>
  <c r="W19" i="1" s="1"/>
  <c r="I19" i="1"/>
  <c r="S18" i="1"/>
  <c r="W18" i="1" s="1"/>
  <c r="Q18" i="1"/>
  <c r="N18" i="1"/>
  <c r="I18" i="1"/>
  <c r="Q17" i="1"/>
  <c r="N17" i="1"/>
  <c r="S17" i="1" s="1"/>
  <c r="W17" i="1" s="1"/>
  <c r="I17" i="1"/>
  <c r="Q16" i="1"/>
  <c r="N16" i="1"/>
  <c r="S16" i="1" s="1"/>
  <c r="W16" i="1" s="1"/>
  <c r="I16" i="1"/>
  <c r="Q15" i="1"/>
  <c r="N15" i="1"/>
  <c r="S15" i="1" s="1"/>
  <c r="W15" i="1" s="1"/>
  <c r="I15" i="1"/>
  <c r="Q14" i="1"/>
  <c r="N14" i="1"/>
  <c r="S14" i="1" s="1"/>
  <c r="W14" i="1" s="1"/>
  <c r="I14" i="1"/>
  <c r="S13" i="1"/>
  <c r="W13" i="1" s="1"/>
  <c r="Q13" i="1"/>
  <c r="N13" i="1"/>
  <c r="I13" i="1"/>
  <c r="Q12" i="1"/>
  <c r="N12" i="1"/>
  <c r="S12" i="1" s="1"/>
  <c r="W12" i="1" s="1"/>
  <c r="I12" i="1"/>
  <c r="Q11" i="1"/>
  <c r="N11" i="1"/>
  <c r="S11" i="1" s="1"/>
  <c r="W11" i="1" s="1"/>
  <c r="I11" i="1"/>
  <c r="Q10" i="1"/>
  <c r="N10" i="1"/>
  <c r="S10" i="1" s="1"/>
  <c r="W10" i="1" s="1"/>
  <c r="I10" i="1"/>
  <c r="S9" i="1"/>
  <c r="W9" i="1" s="1"/>
  <c r="Q9" i="1"/>
  <c r="N9" i="1"/>
  <c r="I9" i="1"/>
  <c r="Q8" i="1"/>
  <c r="N8" i="1"/>
  <c r="S8" i="1" s="1"/>
  <c r="W8" i="1" s="1"/>
  <c r="I8" i="1"/>
  <c r="Q7" i="1"/>
  <c r="N7" i="1"/>
  <c r="S7" i="1" s="1"/>
  <c r="W7" i="1" s="1"/>
  <c r="I7" i="1"/>
  <c r="U200" i="1"/>
  <c r="T200" i="1"/>
  <c r="I196" i="1" l="1"/>
  <c r="Y200" i="1"/>
  <c r="N196" i="1"/>
  <c r="S196" i="1" s="1"/>
  <c r="R200" i="1"/>
  <c r="P200" i="1"/>
  <c r="M200" i="1"/>
  <c r="H200" i="1"/>
  <c r="G200" i="1"/>
  <c r="F200" i="1"/>
  <c r="E200" i="1"/>
  <c r="Q196" i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M205" i="1" l="1"/>
  <c r="I200" i="1"/>
  <c r="O200" i="1"/>
  <c r="V200" i="1"/>
  <c r="W196" i="1"/>
  <c r="L200" i="1"/>
  <c r="J200" i="1"/>
  <c r="K200" i="1"/>
  <c r="Q200" i="1"/>
  <c r="N200" i="1" l="1"/>
  <c r="W200" i="1" l="1"/>
  <c r="S200" i="1"/>
</calcChain>
</file>

<file path=xl/sharedStrings.xml><?xml version="1.0" encoding="utf-8"?>
<sst xmlns="http://schemas.openxmlformats.org/spreadsheetml/2006/main" count="1622" uniqueCount="578">
  <si>
    <t>Name of the Establishment :</t>
  </si>
  <si>
    <t>PARIKAR BUSINESS &amp; KNOWLEDGE SERVICES PRIVATE LIMITED</t>
  </si>
  <si>
    <t>Address :</t>
  </si>
  <si>
    <t>Ecco Green, Upadhyayanagar Grand World, Tirupathi - 517505</t>
  </si>
  <si>
    <t>Sl.No</t>
  </si>
  <si>
    <t>Name of the Employee</t>
  </si>
  <si>
    <t>Employee Code</t>
  </si>
  <si>
    <t>Date of Appointment</t>
  </si>
  <si>
    <t>No. of working day</t>
  </si>
  <si>
    <t>LOP</t>
  </si>
  <si>
    <t>Employee Effective Workdays</t>
  </si>
  <si>
    <t>Wages Earned for Overtime Work</t>
  </si>
  <si>
    <t>Gross Wages Payable</t>
  </si>
  <si>
    <t xml:space="preserve">Deductions </t>
  </si>
  <si>
    <t>Actual Wages Paid</t>
  </si>
  <si>
    <t>Date of Payment</t>
  </si>
  <si>
    <t>Signature or thumb impresession of the employee</t>
  </si>
  <si>
    <t>Basic</t>
  </si>
  <si>
    <t>HRA</t>
  </si>
  <si>
    <t>Fixed Personal Allow</t>
  </si>
  <si>
    <t>Oth. Allowance</t>
  </si>
  <si>
    <t>Gross Salary</t>
  </si>
  <si>
    <t>PF</t>
  </si>
  <si>
    <t>ESI</t>
  </si>
  <si>
    <t>PT</t>
  </si>
  <si>
    <t>B Theertha Vani</t>
  </si>
  <si>
    <t>PARI0002</t>
  </si>
  <si>
    <t>24 Jan 2017</t>
  </si>
  <si>
    <t>M Gayathri</t>
  </si>
  <si>
    <t>PARI0004</t>
  </si>
  <si>
    <t>M Thyagaraju</t>
  </si>
  <si>
    <t>PARI0014</t>
  </si>
  <si>
    <t>23 Jan 2017</t>
  </si>
  <si>
    <t>Singam Babureddy</t>
  </si>
  <si>
    <t>PARI0015</t>
  </si>
  <si>
    <t>01 Feb 2017</t>
  </si>
  <si>
    <t>P Reddy Praveen</t>
  </si>
  <si>
    <t>PARI0016</t>
  </si>
  <si>
    <t>Thalari Sobha</t>
  </si>
  <si>
    <t>PARI0017</t>
  </si>
  <si>
    <t>Devareni Tharun</t>
  </si>
  <si>
    <t>PARI0019</t>
  </si>
  <si>
    <t>P Ramki</t>
  </si>
  <si>
    <t>PARI0021</t>
  </si>
  <si>
    <t>Bheema Ramesh</t>
  </si>
  <si>
    <t>PARI0032</t>
  </si>
  <si>
    <t>01 Mar 2017</t>
  </si>
  <si>
    <t>J Kalam Basha</t>
  </si>
  <si>
    <t>PARI0039</t>
  </si>
  <si>
    <t>20 Apr 2017</t>
  </si>
  <si>
    <t>P Yamini</t>
  </si>
  <si>
    <t>PARI0045</t>
  </si>
  <si>
    <t>13 May 2017</t>
  </si>
  <si>
    <t>Velayudham Dillibabu</t>
  </si>
  <si>
    <t>PARI0062</t>
  </si>
  <si>
    <t>12 Jun 2017</t>
  </si>
  <si>
    <t>N Suneetha</t>
  </si>
  <si>
    <t>PARI0063</t>
  </si>
  <si>
    <t>Ramayanapu Shyam Prasad</t>
  </si>
  <si>
    <t>PARI0072</t>
  </si>
  <si>
    <t>01 Sep 2017</t>
  </si>
  <si>
    <t>Pasupuleti Pushpa</t>
  </si>
  <si>
    <t>PARI0076</t>
  </si>
  <si>
    <t>28 Sep 2017</t>
  </si>
  <si>
    <t>Y Swapna</t>
  </si>
  <si>
    <t>PARI0077</t>
  </si>
  <si>
    <t>11 Oct 2017</t>
  </si>
  <si>
    <t>V Vinod Kumar</t>
  </si>
  <si>
    <t>PARI0092</t>
  </si>
  <si>
    <t>11 Dec 2017</t>
  </si>
  <si>
    <t>Jakkala Jyothi</t>
  </si>
  <si>
    <t>PARI0115</t>
  </si>
  <si>
    <t>01 Mar 2018</t>
  </si>
  <si>
    <t>Javvaji Gunasekhar</t>
  </si>
  <si>
    <t>PARI0140</t>
  </si>
  <si>
    <t>16 Apr 2018</t>
  </si>
  <si>
    <t>Anasani Kusuma</t>
  </si>
  <si>
    <t>PARI0150</t>
  </si>
  <si>
    <t>14 May 2018</t>
  </si>
  <si>
    <t>G Pushpa</t>
  </si>
  <si>
    <t>PARI0157</t>
  </si>
  <si>
    <t>28 May 2018</t>
  </si>
  <si>
    <t>Muralikrishna Subramanyam</t>
  </si>
  <si>
    <t>PARI0174</t>
  </si>
  <si>
    <t>23 Jul 2018</t>
  </si>
  <si>
    <t>Peruru Vinod Kumar</t>
  </si>
  <si>
    <t>PARI0182</t>
  </si>
  <si>
    <t>30 Jul 2018</t>
  </si>
  <si>
    <t>B Pavitra</t>
  </si>
  <si>
    <t>PARI0203</t>
  </si>
  <si>
    <t>03 Oct 2018</t>
  </si>
  <si>
    <t>N Ramachandra</t>
  </si>
  <si>
    <t>PARI0246</t>
  </si>
  <si>
    <t>08 Apr 2019</t>
  </si>
  <si>
    <t>S Chandana</t>
  </si>
  <si>
    <t>PARI0252</t>
  </si>
  <si>
    <t>15 May 2019</t>
  </si>
  <si>
    <t>Golla Ramadevi</t>
  </si>
  <si>
    <t>PARI0266</t>
  </si>
  <si>
    <t>27 May 2019</t>
  </si>
  <si>
    <t>C Meena</t>
  </si>
  <si>
    <t>PARI0281</t>
  </si>
  <si>
    <t>17 Jun 2019</t>
  </si>
  <si>
    <t>A Bhuvaneswari</t>
  </si>
  <si>
    <t>PARI0282</t>
  </si>
  <si>
    <t>19 Jun 2019</t>
  </si>
  <si>
    <t>Matam Munilakshmi</t>
  </si>
  <si>
    <t>PARI0311</t>
  </si>
  <si>
    <t>16 Aug 2019</t>
  </si>
  <si>
    <t>Tate Kalva Kiran Kumar</t>
  </si>
  <si>
    <t>PARI0313</t>
  </si>
  <si>
    <t>03 Sep 2019</t>
  </si>
  <si>
    <t>V Vanitha</t>
  </si>
  <si>
    <t>PARI0321</t>
  </si>
  <si>
    <t>22 Oct 2019</t>
  </si>
  <si>
    <t>Sreeramulu Mahesh Babu</t>
  </si>
  <si>
    <t>PARI0349</t>
  </si>
  <si>
    <t>03 Jan 2020</t>
  </si>
  <si>
    <t>S Chotima</t>
  </si>
  <si>
    <t>PARI0360</t>
  </si>
  <si>
    <t>07 Jan 2021</t>
  </si>
  <si>
    <t>G Lakshmi Priya</t>
  </si>
  <si>
    <t>PARI0371</t>
  </si>
  <si>
    <t>19 Feb 2021</t>
  </si>
  <si>
    <t>Modem Reddeswari</t>
  </si>
  <si>
    <t>PARI0376</t>
  </si>
  <si>
    <t>05 Mar 2021</t>
  </si>
  <si>
    <t>E Usha</t>
  </si>
  <si>
    <t>PARI0390</t>
  </si>
  <si>
    <t>30 Jul 2021</t>
  </si>
  <si>
    <t>G N Munimahendra</t>
  </si>
  <si>
    <t>PARI0398</t>
  </si>
  <si>
    <t>07 Aug 2021</t>
  </si>
  <si>
    <t>Garnimitta Sudarsan</t>
  </si>
  <si>
    <t>PARI0402</t>
  </si>
  <si>
    <t>19 Aug 2021</t>
  </si>
  <si>
    <t>D Hemalatha</t>
  </si>
  <si>
    <t>PARI0404</t>
  </si>
  <si>
    <t>20 Aug 2021</t>
  </si>
  <si>
    <t>Naaramsetty Divya</t>
  </si>
  <si>
    <t>PARI0406</t>
  </si>
  <si>
    <t>13 Sep 2021</t>
  </si>
  <si>
    <t>M Subhashini</t>
  </si>
  <si>
    <t>PARI0425</t>
  </si>
  <si>
    <t>06 Nov 2021</t>
  </si>
  <si>
    <t>Penumuru Sushma</t>
  </si>
  <si>
    <t>PARI0434</t>
  </si>
  <si>
    <t>15 Nov 2021</t>
  </si>
  <si>
    <t>Surnna Lokesh</t>
  </si>
  <si>
    <t>PARI0453</t>
  </si>
  <si>
    <t>16 Feb 2022</t>
  </si>
  <si>
    <t>Chittiboyana Bhavya</t>
  </si>
  <si>
    <t>PARI0462</t>
  </si>
  <si>
    <t>04 Mar 2022</t>
  </si>
  <si>
    <t>Dandola Gopi</t>
  </si>
  <si>
    <t>PARI0466</t>
  </si>
  <si>
    <t>10 Mar 2022</t>
  </si>
  <si>
    <t>K Razia</t>
  </si>
  <si>
    <t>PARI0472</t>
  </si>
  <si>
    <t>01 Apr 2022</t>
  </si>
  <si>
    <t>Thupakula Aswini</t>
  </si>
  <si>
    <t>PARI0475</t>
  </si>
  <si>
    <t>08 Apr 2022</t>
  </si>
  <si>
    <t>K Divya</t>
  </si>
  <si>
    <t>PARI0483</t>
  </si>
  <si>
    <t>24 May 2022</t>
  </si>
  <si>
    <t>Udara Madhu</t>
  </si>
  <si>
    <t>PARI0486</t>
  </si>
  <si>
    <t>01 Jun 2022</t>
  </si>
  <si>
    <t>Kuragayala Nandu Sai</t>
  </si>
  <si>
    <t>PARI0488</t>
  </si>
  <si>
    <t>Tenepalli Srikanth</t>
  </si>
  <si>
    <t>PARI0492</t>
  </si>
  <si>
    <t>15 Jun 2022</t>
  </si>
  <si>
    <t>K Muni Lakshmi</t>
  </si>
  <si>
    <t>PARI0494</t>
  </si>
  <si>
    <t>20 Jun 2022</t>
  </si>
  <si>
    <t>Arvind</t>
  </si>
  <si>
    <t>PARI0501</t>
  </si>
  <si>
    <t>10 Feb 2025</t>
  </si>
  <si>
    <t>D Bhargavi</t>
  </si>
  <si>
    <t>PARI0502</t>
  </si>
  <si>
    <t>04 Jul 2022</t>
  </si>
  <si>
    <t>Manyam Bharathi</t>
  </si>
  <si>
    <t>PARI0505</t>
  </si>
  <si>
    <t>01 Aug 2022</t>
  </si>
  <si>
    <t>B Siva Naik</t>
  </si>
  <si>
    <t>PARI0507</t>
  </si>
  <si>
    <t>B Chaitanya Kumar</t>
  </si>
  <si>
    <t>PARI0522</t>
  </si>
  <si>
    <t>05 Sep 2022</t>
  </si>
  <si>
    <t>Jebbiti Manasa</t>
  </si>
  <si>
    <t>PARI0534</t>
  </si>
  <si>
    <t>01 Oct 2022</t>
  </si>
  <si>
    <t>P Harikrishna</t>
  </si>
  <si>
    <t>PARI0549</t>
  </si>
  <si>
    <t>17 Oct 2022</t>
  </si>
  <si>
    <t>Aalangadu Devi</t>
  </si>
  <si>
    <t>PARI0551</t>
  </si>
  <si>
    <t>Atla Shalini</t>
  </si>
  <si>
    <t>PARI0552</t>
  </si>
  <si>
    <t>Bandi Nikhitha</t>
  </si>
  <si>
    <t>PARI0555</t>
  </si>
  <si>
    <t>09 Dec 2022</t>
  </si>
  <si>
    <t>Kammapati Sai Divya Teja</t>
  </si>
  <si>
    <t>PARI0565</t>
  </si>
  <si>
    <t>05 Jan 2023</t>
  </si>
  <si>
    <t>Anantha Naga Jyothi</t>
  </si>
  <si>
    <t>PARI0568</t>
  </si>
  <si>
    <t>09 Jan 2023</t>
  </si>
  <si>
    <t>P Bharath</t>
  </si>
  <si>
    <t>PARI0570</t>
  </si>
  <si>
    <t>12 Jan 2023</t>
  </si>
  <si>
    <t>G Chandralekha</t>
  </si>
  <si>
    <t>PARI0586</t>
  </si>
  <si>
    <t>16 Feb 2023</t>
  </si>
  <si>
    <t>M Reddi Priya</t>
  </si>
  <si>
    <t>PARI0595</t>
  </si>
  <si>
    <t>08 Apr 2023</t>
  </si>
  <si>
    <t>Chinnapapannagari Mounika</t>
  </si>
  <si>
    <t>PARI0598</t>
  </si>
  <si>
    <t>10 Apr 2023</t>
  </si>
  <si>
    <t>Vallipi Alekhya</t>
  </si>
  <si>
    <t>PARI0604</t>
  </si>
  <si>
    <t>20 Apr 2023</t>
  </si>
  <si>
    <t>Mendrollu Sandhya</t>
  </si>
  <si>
    <t>PARI0609</t>
  </si>
  <si>
    <t>25 Apr 2023</t>
  </si>
  <si>
    <t>Goura Vani</t>
  </si>
  <si>
    <t>PARI0621</t>
  </si>
  <si>
    <t>17 May 2023</t>
  </si>
  <si>
    <t>Bandi Sasi Kumari</t>
  </si>
  <si>
    <t>PARI0630</t>
  </si>
  <si>
    <t>05 Jun 2023</t>
  </si>
  <si>
    <t>N Gayathri</t>
  </si>
  <si>
    <t>PARI0632</t>
  </si>
  <si>
    <t>16 Jun 2023</t>
  </si>
  <si>
    <t>P Keerthi</t>
  </si>
  <si>
    <t>PARI0642</t>
  </si>
  <si>
    <t>17 Jul 2023</t>
  </si>
  <si>
    <t>Potti Alekhya</t>
  </si>
  <si>
    <t>PARI0643</t>
  </si>
  <si>
    <t>20 Jul 2023</t>
  </si>
  <si>
    <t>K Moulika</t>
  </si>
  <si>
    <t>PARI0648</t>
  </si>
  <si>
    <t>02 Aug 2023</t>
  </si>
  <si>
    <t>Shaik Asha</t>
  </si>
  <si>
    <t>PARI0653</t>
  </si>
  <si>
    <t>07 Aug 2023</t>
  </si>
  <si>
    <t>S Gayathri</t>
  </si>
  <si>
    <t>PARI0669</t>
  </si>
  <si>
    <t>03 Oct 2023</t>
  </si>
  <si>
    <t>Kattamanchi Diwakar Reddy</t>
  </si>
  <si>
    <t>PARI0671</t>
  </si>
  <si>
    <t>G Jagadeswari</t>
  </si>
  <si>
    <t>PARI0676</t>
  </si>
  <si>
    <t>Krishna Nandhini</t>
  </si>
  <si>
    <t>PARI0681</t>
  </si>
  <si>
    <t>Thummalapalli Sumathi</t>
  </si>
  <si>
    <t>PARI0684</t>
  </si>
  <si>
    <t>04 Oct 2023</t>
  </si>
  <si>
    <t>K Chaitra</t>
  </si>
  <si>
    <t>PARI0685</t>
  </si>
  <si>
    <t>C Gayathri</t>
  </si>
  <si>
    <t>PARI0686</t>
  </si>
  <si>
    <t>05 Oct 2023</t>
  </si>
  <si>
    <t>Pasupuleti Sirisha</t>
  </si>
  <si>
    <t>PARI0688</t>
  </si>
  <si>
    <t>K Narasimhulu</t>
  </si>
  <si>
    <t>PARI0691</t>
  </si>
  <si>
    <t>07 Oct 2023</t>
  </si>
  <si>
    <t>Thammisetty Manju Bhargavi</t>
  </si>
  <si>
    <t>PARI0693</t>
  </si>
  <si>
    <t>09 Oct 2023</t>
  </si>
  <si>
    <t>Bodda Teja</t>
  </si>
  <si>
    <t>PARI0699</t>
  </si>
  <si>
    <t>11 Oct 2023</t>
  </si>
  <si>
    <t>Pandikunta Chinni</t>
  </si>
  <si>
    <t>PARI0706</t>
  </si>
  <si>
    <t>14 Oct 2023</t>
  </si>
  <si>
    <t>Akkala Reecha</t>
  </si>
  <si>
    <t>PARI0711</t>
  </si>
  <si>
    <t>17 Oct 2023</t>
  </si>
  <si>
    <t>T Thulasi</t>
  </si>
  <si>
    <t>PARI0713</t>
  </si>
  <si>
    <t>Vanneti Madhavi</t>
  </si>
  <si>
    <t>PARI0733</t>
  </si>
  <si>
    <t>18 Nov 2023</t>
  </si>
  <si>
    <t>Patooru Mohana</t>
  </si>
  <si>
    <t>PARI0734</t>
  </si>
  <si>
    <t>20 Nov 2023</t>
  </si>
  <si>
    <t>Sireesha Puram</t>
  </si>
  <si>
    <t>PARI0737</t>
  </si>
  <si>
    <t>M Dilip Kumar</t>
  </si>
  <si>
    <t>PARI0740</t>
  </si>
  <si>
    <t>21 Nov 2023</t>
  </si>
  <si>
    <t>Subramanyam Divya</t>
  </si>
  <si>
    <t>PARI0748</t>
  </si>
  <si>
    <t>05 Feb 2024</t>
  </si>
  <si>
    <t>Mukkali Ramya</t>
  </si>
  <si>
    <t>PARI0752</t>
  </si>
  <si>
    <t>07 Feb 2024</t>
  </si>
  <si>
    <t>J Teja</t>
  </si>
  <si>
    <t>PARI0764</t>
  </si>
  <si>
    <t>06 Mar 2024</t>
  </si>
  <si>
    <t>G Ravalik</t>
  </si>
  <si>
    <t>PARI0765</t>
  </si>
  <si>
    <t>Gajjela Hari Krishna</t>
  </si>
  <si>
    <t>PARI0767</t>
  </si>
  <si>
    <t>15 Mar 2024</t>
  </si>
  <si>
    <t>Enuganti Bhavitha Reddy</t>
  </si>
  <si>
    <t>PARI0779</t>
  </si>
  <si>
    <t>01 Apr 2024</t>
  </si>
  <si>
    <t>P Swetha</t>
  </si>
  <si>
    <t>PARI0781</t>
  </si>
  <si>
    <t>Manam Sri Hemanth</t>
  </si>
  <si>
    <t>PARI0784</t>
  </si>
  <si>
    <t>04 Apr 2024</t>
  </si>
  <si>
    <t>C Yaswanth</t>
  </si>
  <si>
    <t>PARI0785</t>
  </si>
  <si>
    <t>Sulleswar Muthulakshmi</t>
  </si>
  <si>
    <t>PARI0791</t>
  </si>
  <si>
    <t>17 Apr 2024</t>
  </si>
  <si>
    <t>S L Saranya</t>
  </si>
  <si>
    <t>PARI0794</t>
  </si>
  <si>
    <t>02 May 2024</t>
  </si>
  <si>
    <t>Upputholla Bhudevi</t>
  </si>
  <si>
    <t>PARI0815</t>
  </si>
  <si>
    <t>01 Aug 2024</t>
  </si>
  <si>
    <t>Shaik Rehana</t>
  </si>
  <si>
    <t>PARI0818</t>
  </si>
  <si>
    <t>05 Aug 2024</t>
  </si>
  <si>
    <t>Poola Sai Priya</t>
  </si>
  <si>
    <t>PARI0820</t>
  </si>
  <si>
    <t>Yalapalli Snehasri</t>
  </si>
  <si>
    <t>PARI0821</t>
  </si>
  <si>
    <t>08 Aug 2024</t>
  </si>
  <si>
    <t>Syed Humera Begum</t>
  </si>
  <si>
    <t>PARI0822</t>
  </si>
  <si>
    <t>12 Aug 2024</t>
  </si>
  <si>
    <t>Perimidi Neeraja</t>
  </si>
  <si>
    <t>PARI0824</t>
  </si>
  <si>
    <t>14 Aug 2024</t>
  </si>
  <si>
    <t>G Neeraja</t>
  </si>
  <si>
    <t>PARI0826</t>
  </si>
  <si>
    <t>16 Aug 2024</t>
  </si>
  <si>
    <t>Badvel Sreevidya</t>
  </si>
  <si>
    <t>PARI0827</t>
  </si>
  <si>
    <t>19 Aug 2024</t>
  </si>
  <si>
    <t>S Masthan Basha</t>
  </si>
  <si>
    <t>PARI0829</t>
  </si>
  <si>
    <t>Billu Madhavi</t>
  </si>
  <si>
    <t>PARI0832</t>
  </si>
  <si>
    <t>02 Sep 2024</t>
  </si>
  <si>
    <t>Punnaga Swetha</t>
  </si>
  <si>
    <t>PARI0835</t>
  </si>
  <si>
    <t>04 Sep 2024</t>
  </si>
  <si>
    <t>Shaik Ayesha</t>
  </si>
  <si>
    <t>PARI0837</t>
  </si>
  <si>
    <t>S Sada</t>
  </si>
  <si>
    <t>PARI0839</t>
  </si>
  <si>
    <t>06 Sep 2024</t>
  </si>
  <si>
    <t>Vendhoti Prema Dhara</t>
  </si>
  <si>
    <t>PARI0843</t>
  </si>
  <si>
    <t>13 Sep 2024</t>
  </si>
  <si>
    <t>Moddu Kaveri</t>
  </si>
  <si>
    <t>PARI0844</t>
  </si>
  <si>
    <t>M Imrana</t>
  </si>
  <si>
    <t>PARI0846</t>
  </si>
  <si>
    <t>14 Sep 2024</t>
  </si>
  <si>
    <t>GALLA MOUNIKA</t>
  </si>
  <si>
    <t>PARI0872</t>
  </si>
  <si>
    <t>01 Oct 2024</t>
  </si>
  <si>
    <t>AVULA SARITHA</t>
  </si>
  <si>
    <t>PARI0877</t>
  </si>
  <si>
    <t>07 Oct 2024</t>
  </si>
  <si>
    <t>A YUVARANI</t>
  </si>
  <si>
    <t>PARI0879</t>
  </si>
  <si>
    <t>B AKHIL</t>
  </si>
  <si>
    <t>PARI0880</t>
  </si>
  <si>
    <t>VARAMPATI GANESH</t>
  </si>
  <si>
    <t>PARI0881</t>
  </si>
  <si>
    <t>08 Oct 2024</t>
  </si>
  <si>
    <t>Avulapati Durga</t>
  </si>
  <si>
    <t>PARI0892</t>
  </si>
  <si>
    <t>05 Nov 2024</t>
  </si>
  <si>
    <t>Raju Sivamani</t>
  </si>
  <si>
    <t>PARI0894</t>
  </si>
  <si>
    <t>14 Nov 2024</t>
  </si>
  <si>
    <t>Garikipati Bhuvaneswari</t>
  </si>
  <si>
    <t>PARI0902</t>
  </si>
  <si>
    <t>02 Dec 2024</t>
  </si>
  <si>
    <t>Busam Sumasri</t>
  </si>
  <si>
    <t>PARI0904</t>
  </si>
  <si>
    <t>Morasa Mounika</t>
  </si>
  <si>
    <t>PARI0909</t>
  </si>
  <si>
    <t>16 Dec 2024</t>
  </si>
  <si>
    <t>Marimuthu Kalaivani</t>
  </si>
  <si>
    <t>PARI0914</t>
  </si>
  <si>
    <t>18 Dec 2024</t>
  </si>
  <si>
    <t>R Nandhini</t>
  </si>
  <si>
    <t>PARI0915</t>
  </si>
  <si>
    <t>B Nageswari</t>
  </si>
  <si>
    <t>PARI0920</t>
  </si>
  <si>
    <t>06 Jan 2025</t>
  </si>
  <si>
    <t>K Gowthami</t>
  </si>
  <si>
    <t>PARI0929</t>
  </si>
  <si>
    <t>17 Feb 2025</t>
  </si>
  <si>
    <t>Natthi Pallavi</t>
  </si>
  <si>
    <t>PARI0931</t>
  </si>
  <si>
    <t>20 Feb 2025</t>
  </si>
  <si>
    <t>Valipi Pushpa</t>
  </si>
  <si>
    <t>PARI0934</t>
  </si>
  <si>
    <t>17 Mar 2025</t>
  </si>
  <si>
    <t>Kesanapalli Ludhiyamma</t>
  </si>
  <si>
    <t>PARI0937</t>
  </si>
  <si>
    <t>01 Apr 2025</t>
  </si>
  <si>
    <t>Kattempudi Sailu</t>
  </si>
  <si>
    <t>PARI0943</t>
  </si>
  <si>
    <t>08 Apr 2025</t>
  </si>
  <si>
    <t>R Sri Lakshmi Sreeya</t>
  </si>
  <si>
    <t>PARI0944</t>
  </si>
  <si>
    <t>05 Jun 2025</t>
  </si>
  <si>
    <t>Simgam Poornima</t>
  </si>
  <si>
    <t>PARI0945</t>
  </si>
  <si>
    <t>Gadanki Chandana</t>
  </si>
  <si>
    <t>PARI0947</t>
  </si>
  <si>
    <t>Dumpa Dyaneswar Reddy</t>
  </si>
  <si>
    <t>PARI0949</t>
  </si>
  <si>
    <t>11 Jun 2025</t>
  </si>
  <si>
    <t>T Keerthi</t>
  </si>
  <si>
    <t>PARI0950</t>
  </si>
  <si>
    <t>12 Jun 2025</t>
  </si>
  <si>
    <t>Uppunelli Anjamma</t>
  </si>
  <si>
    <t>PARI0953</t>
  </si>
  <si>
    <t>01 Jul 2025</t>
  </si>
  <si>
    <t>P Devi</t>
  </si>
  <si>
    <t>PARI0954</t>
  </si>
  <si>
    <t>Konduru Supriya</t>
  </si>
  <si>
    <t>PARI0956</t>
  </si>
  <si>
    <t>07 Jul 2025</t>
  </si>
  <si>
    <t>P Munilakshmi</t>
  </si>
  <si>
    <t>PARI0957</t>
  </si>
  <si>
    <t>Tellamekala Vasavi</t>
  </si>
  <si>
    <t>PARI0961</t>
  </si>
  <si>
    <t>09 Jul 2025</t>
  </si>
  <si>
    <t>A S Lavanya Lahari</t>
  </si>
  <si>
    <t>PARI0965</t>
  </si>
  <si>
    <t>14 Jul 2025</t>
  </si>
  <si>
    <t>Vaddi Chandana</t>
  </si>
  <si>
    <t>PARI0966</t>
  </si>
  <si>
    <t>Kamati Sireesha</t>
  </si>
  <si>
    <t>PARI0968</t>
  </si>
  <si>
    <t>Karavati Rajitha</t>
  </si>
  <si>
    <t>PARI0971</t>
  </si>
  <si>
    <t>18 Jul 2025</t>
  </si>
  <si>
    <t>K Menaka</t>
  </si>
  <si>
    <t>PARI0973</t>
  </si>
  <si>
    <t>21 Jul 2025</t>
  </si>
  <si>
    <t>Ponnadi Mamatha Sree</t>
  </si>
  <si>
    <t>PARI0975</t>
  </si>
  <si>
    <t>01 Aug 2025</t>
  </si>
  <si>
    <t>Kothapalem Kanaka Mahalakshmi</t>
  </si>
  <si>
    <t>PARI0977</t>
  </si>
  <si>
    <t>Pydam Deepika</t>
  </si>
  <si>
    <t>PARI0978</t>
  </si>
  <si>
    <t>Vuyyala Likitha</t>
  </si>
  <si>
    <t>PARI0979</t>
  </si>
  <si>
    <t>Kalavagunta Kusuma</t>
  </si>
  <si>
    <t>PARI0980</t>
  </si>
  <si>
    <t>J Venkatesh</t>
  </si>
  <si>
    <t>PARI0983</t>
  </si>
  <si>
    <t>G Karthikeyan</t>
  </si>
  <si>
    <t>PARI0986</t>
  </si>
  <si>
    <t>04 Aug 2025</t>
  </si>
  <si>
    <t>Kainduri Siva Kumar</t>
  </si>
  <si>
    <t>PARI0988</t>
  </si>
  <si>
    <t>Vannela Pallavi</t>
  </si>
  <si>
    <t>PARI0994</t>
  </si>
  <si>
    <t>Mangalagiri Himabindu</t>
  </si>
  <si>
    <t>PARI0996</t>
  </si>
  <si>
    <t>Minuku Sumathi</t>
  </si>
  <si>
    <t>PARI0998</t>
  </si>
  <si>
    <t>N Bhanu</t>
  </si>
  <si>
    <t>PARI1000</t>
  </si>
  <si>
    <t>08 Aug 2025</t>
  </si>
  <si>
    <t>K Leela Kumari</t>
  </si>
  <si>
    <t>PARI1001</t>
  </si>
  <si>
    <t>Machala Gayathri</t>
  </si>
  <si>
    <t>PARI1002</t>
  </si>
  <si>
    <t>Maddileti Lakshmi Devi</t>
  </si>
  <si>
    <t>PARI1004</t>
  </si>
  <si>
    <t>16 Aug 2025</t>
  </si>
  <si>
    <t>M Thanuja</t>
  </si>
  <si>
    <t>PARI1006</t>
  </si>
  <si>
    <t>03 Sep 2025</t>
  </si>
  <si>
    <t>R Vasavi</t>
  </si>
  <si>
    <t>PARI1010</t>
  </si>
  <si>
    <t>08 Sep 2025</t>
  </si>
  <si>
    <t>T Hemanth Kumar</t>
  </si>
  <si>
    <t>PARI1015</t>
  </si>
  <si>
    <t>06 Oct 2025</t>
  </si>
  <si>
    <t>Charupalli Santhosh</t>
  </si>
  <si>
    <t>PARI1017</t>
  </si>
  <si>
    <t>Mugammagari Meenakshi</t>
  </si>
  <si>
    <t>PARI1020</t>
  </si>
  <si>
    <t>09 Oct 2025</t>
  </si>
  <si>
    <t>M Asha</t>
  </si>
  <si>
    <t>PARI1022</t>
  </si>
  <si>
    <t>03 Nov 2025</t>
  </si>
  <si>
    <t>Mandem Sandhya</t>
  </si>
  <si>
    <t>PARI1024</t>
  </si>
  <si>
    <t>Kudhipigunta Harathi</t>
  </si>
  <si>
    <t>PARI1025</t>
  </si>
  <si>
    <t>18 Nov 2025</t>
  </si>
  <si>
    <t>Talari Bala Maneesh</t>
  </si>
  <si>
    <t>PARI1026</t>
  </si>
  <si>
    <t>K Bhavya</t>
  </si>
  <si>
    <t>PARI1027</t>
  </si>
  <si>
    <t>P Lakshmi Chandana</t>
  </si>
  <si>
    <t>PARI1028</t>
  </si>
  <si>
    <t>Yeddala Nandu</t>
  </si>
  <si>
    <t>PARI1029</t>
  </si>
  <si>
    <t>Pellakuru Nandini</t>
  </si>
  <si>
    <t>PARI1031</t>
  </si>
  <si>
    <t>08 Dec 2025</t>
  </si>
  <si>
    <t>Syed Masthanamma</t>
  </si>
  <si>
    <t>PARI1032</t>
  </si>
  <si>
    <t>Chinthamani Mudrika</t>
  </si>
  <si>
    <t>PARI1037</t>
  </si>
  <si>
    <t>16 Dec 2025</t>
  </si>
  <si>
    <t>D Thulasi</t>
  </si>
  <si>
    <t>PARI1038</t>
  </si>
  <si>
    <t>19 Jan 2026</t>
  </si>
  <si>
    <t>Addageethala Dedeepya</t>
  </si>
  <si>
    <t>PARI1039</t>
  </si>
  <si>
    <t>22 Jan 2026</t>
  </si>
  <si>
    <t>Bhuvaneswari K</t>
  </si>
  <si>
    <t>PARI1040</t>
  </si>
  <si>
    <t>06 May 2026</t>
  </si>
  <si>
    <t>P Bhargavi</t>
  </si>
  <si>
    <t>PARI1041</t>
  </si>
  <si>
    <t>11 Jun2026</t>
  </si>
  <si>
    <t>Chakkara Reddy Ankitha</t>
  </si>
  <si>
    <t>PARI1042</t>
  </si>
  <si>
    <t>01 Jul 2026</t>
  </si>
  <si>
    <t>Kurakula Akshaya</t>
  </si>
  <si>
    <t>PARI1043</t>
  </si>
  <si>
    <t>Grand Total</t>
  </si>
  <si>
    <t xml:space="preserve"> </t>
  </si>
  <si>
    <t>Wages period - September 2026</t>
  </si>
  <si>
    <t>False</t>
  </si>
  <si>
    <t>Permanent</t>
  </si>
  <si>
    <t>Probation</t>
  </si>
  <si>
    <t>Confirmed</t>
  </si>
  <si>
    <t>11 Jun 2026</t>
  </si>
  <si>
    <t>19 Aug 2026</t>
  </si>
  <si>
    <t>PARI1044</t>
  </si>
  <si>
    <t>Chenna Sravani</t>
  </si>
  <si>
    <t>11 Sep 2026</t>
  </si>
  <si>
    <t/>
  </si>
  <si>
    <t xml:space="preserve">Grand Total </t>
  </si>
  <si>
    <t>Name</t>
  </si>
  <si>
    <t>Join Date</t>
  </si>
  <si>
    <t>Left?</t>
  </si>
  <si>
    <t>Status</t>
  </si>
  <si>
    <t>DAYS IN MONTH</t>
  </si>
  <si>
    <t>EMP EFFECTIVE WORKDAYS</t>
  </si>
  <si>
    <t>BASIC</t>
  </si>
  <si>
    <t>OTHER ALLOWANCE</t>
  </si>
  <si>
    <t>PERSONAL ALLOWANCE</t>
  </si>
  <si>
    <t>GROSS</t>
  </si>
  <si>
    <t>PROF TAX</t>
  </si>
  <si>
    <t>TOTAL DEDUCTIONS</t>
  </si>
  <si>
    <t>NET PAY</t>
  </si>
  <si>
    <t xml:space="preserve"> Fixed Rate of wages </t>
  </si>
  <si>
    <t>19/Aug/2026.</t>
  </si>
  <si>
    <t xml:space="preserve"> Actual Wages Sep-26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</si>
</sst>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 * #,##0_ ;_ * \-#,##0_ ;_ * &quot;-&quot;??_ ;_ @_ "/>
    <numFmt numFmtId="165" formatCode="dd\-mm\-yyyy"/>
    <numFmt numFmtId="166" formatCode="m/d/yyyy;@"/>
    <numFmt numFmtId="167" formatCode="dd\ mmm\ yyyy"/>
  </numFmts>
  <fonts count="6">
    <font>
      <sz val="11"/>
      <color theme="1"/>
      <name val="Calibri"/>
      <charset val="134"/>
      <scheme val="minor"/>
    </font>
    <font>
      <sz val="11"/>
      <name val="Book Antiqua"/>
      <family val="1"/>
    </font>
    <font>
      <sz val="11"/>
      <color theme="1"/>
      <name val="Book Antiqua"/>
      <family val="1"/>
    </font>
    <font>
      <b/>
      <sz val="11"/>
      <color theme="1"/>
      <name val="Book Antiqua"/>
      <family val="1"/>
    </font>
    <font>
      <sz val="11"/>
      <color theme="1"/>
      <name val="Calibri"/>
      <family val="2"/>
      <scheme val="minor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8" tint="0.3999145481734672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37">
    <xf numFmtId="0" fontId="0" fillId="0" borderId="0" xfId="0"/>
    <xf numFmtId="0" fontId="1" fillId="0" borderId="1" xfId="0" applyFont="1" applyBorder="1"/>
    <xf numFmtId="164" fontId="2" fillId="0" borderId="1" xfId="1" applyNumberFormat="1" applyFont="1" applyBorder="1"/>
    <xf numFmtId="0" fontId="3" fillId="3" borderId="1" xfId="0" applyFont="1" applyFill="1" applyBorder="1"/>
    <xf numFmtId="164" fontId="3" fillId="3" borderId="1" xfId="0" applyNumberFormat="1" applyFont="1" applyFill="1" applyBorder="1"/>
    <xf numFmtId="0" fontId="2" fillId="0" borderId="0" xfId="0" applyFont="1"/>
    <xf numFmtId="0" fontId="3" fillId="0" borderId="0" xfId="0" applyFont="1"/>
    <xf numFmtId="164" fontId="3" fillId="5" borderId="1" xfId="1" applyNumberFormat="1" applyFont="1" applyFill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wrapText="1"/>
    </xf>
    <xf numFmtId="0" fontId="2" fillId="0" borderId="1" xfId="0" applyFont="1" applyBorder="1"/>
    <xf numFmtId="164" fontId="1" fillId="0" borderId="1" xfId="1" applyNumberFormat="1" applyFont="1" applyFill="1" applyBorder="1"/>
    <xf numFmtId="164" fontId="2" fillId="0" borderId="1" xfId="1" applyNumberFormat="1" applyFont="1" applyFill="1" applyBorder="1"/>
    <xf numFmtId="165" fontId="2" fillId="0" borderId="1" xfId="1" applyNumberFormat="1" applyFont="1" applyFill="1" applyBorder="1"/>
    <xf numFmtId="166" fontId="1" fillId="0" borderId="1" xfId="1" applyNumberFormat="1" applyFont="1" applyFill="1" applyBorder="1"/>
    <xf numFmtId="165" fontId="2" fillId="0" borderId="0" xfId="0" applyNumberFormat="1" applyFont="1"/>
    <xf numFmtId="164" fontId="2" fillId="0" borderId="0" xfId="0" applyNumberFormat="1" applyFont="1"/>
    <xf numFmtId="43" fontId="2" fillId="0" borderId="0" xfId="0" applyNumberFormat="1" applyFont="1"/>
    <xf numFmtId="167" fontId="0" fillId="0" borderId="0" xfId="0" applyNumberFormat="1"/>
    <xf numFmtId="0" fontId="5" fillId="0" borderId="0" xfId="0" applyFont="1" applyAlignment="1">
      <alignment horizontal="left"/>
    </xf>
    <xf numFmtId="164" fontId="1" fillId="0" borderId="1" xfId="1" applyNumberFormat="1" applyFont="1" applyBorder="1"/>
    <xf numFmtId="165" fontId="2" fillId="0" borderId="1" xfId="1" applyNumberFormat="1" applyFont="1" applyBorder="1"/>
    <xf numFmtId="164" fontId="1" fillId="0" borderId="0" xfId="1" applyNumberFormat="1" applyFont="1" applyFill="1" applyBorder="1"/>
    <xf numFmtId="14" fontId="2" fillId="0" borderId="0" xfId="0" applyNumberFormat="1" applyFont="1"/>
    <xf numFmtId="164" fontId="3" fillId="4" borderId="2" xfId="1" applyNumberFormat="1" applyFont="1" applyFill="1" applyBorder="1" applyAlignment="1">
      <alignment horizontal="center" wrapText="1"/>
    </xf>
    <xf numFmtId="164" fontId="3" fillId="4" borderId="3" xfId="1" applyNumberFormat="1" applyFont="1" applyFill="1" applyBorder="1" applyAlignment="1">
      <alignment horizontal="center" wrapText="1"/>
    </xf>
    <xf numFmtId="164" fontId="3" fillId="4" borderId="4" xfId="1" applyNumberFormat="1" applyFont="1" applyFill="1" applyBorder="1" applyAlignment="1">
      <alignment horizontal="center" wrapText="1"/>
    </xf>
    <xf numFmtId="0" fontId="3" fillId="0" borderId="0" xfId="0" applyFont="1" applyAlignment="1">
      <alignment horizontal="center"/>
    </xf>
    <xf numFmtId="164" fontId="3" fillId="4" borderId="5" xfId="1" applyNumberFormat="1" applyFont="1" applyFill="1" applyBorder="1" applyAlignment="1">
      <alignment horizontal="center" vertical="center" wrapText="1"/>
    </xf>
    <xf numFmtId="164" fontId="3" fillId="4" borderId="6" xfId="1" applyNumberFormat="1" applyFont="1" applyFill="1" applyBorder="1" applyAlignment="1">
      <alignment horizontal="center" vertical="center" wrapText="1"/>
    </xf>
    <xf numFmtId="164" fontId="3" fillId="4" borderId="5" xfId="1" applyNumberFormat="1" applyFont="1" applyFill="1" applyBorder="1" applyAlignment="1">
      <alignment horizontal="center" wrapText="1"/>
    </xf>
    <xf numFmtId="164" fontId="3" fillId="4" borderId="6" xfId="1" applyNumberFormat="1" applyFont="1" applyFill="1" applyBorder="1" applyAlignment="1">
      <alignment horizontal="center"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0" fontId="3" fillId="4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164" fontId="3" fillId="4" borderId="1" xfId="1" applyNumberFormat="1" applyFont="1" applyFill="1" applyBorder="1" applyAlignment="1">
      <alignment horizontal="center" wrapText="1"/>
    </xf>
    <xf numFmtId="164" fontId="3" fillId="2" borderId="1" xfId="1" applyNumberFormat="1" applyFont="1" applyFill="1" applyBorder="1" applyAlignment="1">
      <alignment horizont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00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10"/>
  <sheetViews>
    <sheetView tabSelected="1" zoomScaleNormal="100" workbookViewId="0">
      <pane xSplit="3" ySplit="6" topLeftCell="D182" activePane="bottomRight" state="frozen"/>
      <selection pane="topRight"/>
      <selection pane="bottomLeft"/>
      <selection pane="bottomRight" activeCell="G193" sqref="G193"/>
    </sheetView>
  </sheetViews>
  <sheetFormatPr defaultColWidth="9.109375" defaultRowHeight="14.4"/>
  <cols>
    <col min="1" max="1" width="6.5546875" style="5" customWidth="1"/>
    <col min="2" max="2" width="45.6640625" style="5" customWidth="1"/>
    <col min="3" max="32" width="20.6640625" style="5" customWidth="1"/>
    <col min="33" max="33" width="52.33203125" style="5" customWidth="1"/>
    <col min="34" max="16384" width="9.109375" style="5"/>
  </cols>
  <sheetData>
    <row r="1" spans="1:29" ht="30" customHeight="1">
      <c r="A1" s="31" t="s">
        <v>0</v>
      </c>
      <c r="B1" s="31"/>
      <c r="C1" s="6" t="s">
        <v>1</v>
      </c>
    </row>
    <row r="2" spans="1:29">
      <c r="A2" s="32" t="s">
        <v>2</v>
      </c>
      <c r="B2" s="32"/>
      <c r="C2" s="6" t="s">
        <v>3</v>
      </c>
      <c r="J2" s="26"/>
      <c r="K2" s="26"/>
    </row>
    <row r="3" spans="1:29">
      <c r="J3" s="21"/>
      <c r="K3" s="6"/>
      <c r="Y3" s="16" t="s">
        <v>549</v>
      </c>
      <c r="AC3" s="16" t="s">
        <v>549</v>
      </c>
    </row>
    <row r="4" spans="1:29">
      <c r="A4" s="6" t="s">
        <v>550</v>
      </c>
    </row>
    <row r="5" spans="1:29" ht="16.5" customHeight="1">
      <c r="A5" s="33" t="s">
        <v>4</v>
      </c>
      <c r="B5" s="33" t="s">
        <v>5</v>
      </c>
      <c r="C5" s="35" t="s">
        <v>6</v>
      </c>
      <c r="D5" s="35" t="s">
        <v>7</v>
      </c>
      <c r="E5" s="23" t="s">
        <v>575</v>
      </c>
      <c r="F5" s="24"/>
      <c r="G5" s="24"/>
      <c r="H5" s="24"/>
      <c r="I5" s="25"/>
      <c r="J5" s="23" t="s">
        <v>577</v>
      </c>
      <c r="K5" s="24"/>
      <c r="L5" s="24"/>
      <c r="M5" s="24"/>
      <c r="N5" s="25"/>
      <c r="O5" s="27" t="s">
        <v>8</v>
      </c>
      <c r="P5" s="27" t="s">
        <v>9</v>
      </c>
      <c r="Q5" s="27" t="s">
        <v>10</v>
      </c>
      <c r="R5" s="29" t="s">
        <v>11</v>
      </c>
      <c r="S5" s="29" t="s">
        <v>12</v>
      </c>
      <c r="T5" s="23" t="s">
        <v>13</v>
      </c>
      <c r="U5" s="24"/>
      <c r="V5" s="25"/>
      <c r="W5" s="29" t="s">
        <v>14</v>
      </c>
      <c r="X5" s="29" t="s">
        <v>15</v>
      </c>
      <c r="Y5" s="29" t="s">
        <v>16</v>
      </c>
    </row>
    <row r="6" spans="1:29" ht="28.8">
      <c r="A6" s="34"/>
      <c r="B6" s="34"/>
      <c r="C6" s="36"/>
      <c r="D6" s="36"/>
      <c r="E6" s="7" t="s">
        <v>17</v>
      </c>
      <c r="F6" s="8" t="s">
        <v>18</v>
      </c>
      <c r="G6" s="8" t="s">
        <v>19</v>
      </c>
      <c r="H6" s="8" t="s">
        <v>20</v>
      </c>
      <c r="I6" s="8" t="s">
        <v>21</v>
      </c>
      <c r="J6" s="7" t="s">
        <v>17</v>
      </c>
      <c r="K6" s="8" t="s">
        <v>18</v>
      </c>
      <c r="L6" s="8" t="s">
        <v>19</v>
      </c>
      <c r="M6" s="8" t="s">
        <v>20</v>
      </c>
      <c r="N6" s="8" t="s">
        <v>21</v>
      </c>
      <c r="O6" s="28"/>
      <c r="P6" s="28"/>
      <c r="Q6" s="28"/>
      <c r="R6" s="30"/>
      <c r="S6" s="30"/>
      <c r="T6" s="8" t="s">
        <v>22</v>
      </c>
      <c r="U6" s="8" t="s">
        <v>23</v>
      </c>
      <c r="V6" s="8" t="s">
        <v>24</v>
      </c>
      <c r="W6" s="30"/>
      <c r="X6" s="30"/>
      <c r="Y6" s="30"/>
    </row>
    <row r="7" spans="1:29">
      <c r="A7" s="9">
        <v>1</v>
      </c>
      <c r="B7" s="1" t="s">
        <v>25</v>
      </c>
      <c r="C7" s="1" t="s">
        <v>26</v>
      </c>
      <c r="D7" s="10" t="s">
        <v>27</v>
      </c>
      <c r="E7" s="11">
        <v>6674</v>
      </c>
      <c r="F7" s="11">
        <v>2669</v>
      </c>
      <c r="G7" s="11">
        <v>0</v>
      </c>
      <c r="H7" s="11">
        <v>4004</v>
      </c>
      <c r="I7" s="11">
        <f t="shared" ref="I7:I70" si="0">SUM(E7:H7)</f>
        <v>13347</v>
      </c>
      <c r="J7" s="1">
        <v>6674</v>
      </c>
      <c r="K7" s="1">
        <v>2669</v>
      </c>
      <c r="L7" s="1"/>
      <c r="M7" s="1">
        <v>4004</v>
      </c>
      <c r="N7" s="11">
        <f t="shared" ref="N7:N70" si="1">+SUM(J7:M7)</f>
        <v>13347</v>
      </c>
      <c r="O7" s="1">
        <v>30</v>
      </c>
      <c r="P7" s="1">
        <v>0</v>
      </c>
      <c r="Q7" s="1">
        <f t="shared" ref="Q7:Q70" si="2">O7-P7</f>
        <v>30</v>
      </c>
      <c r="R7" s="11">
        <v>0</v>
      </c>
      <c r="S7" s="11">
        <f t="shared" ref="S7:S70" si="3">+N7+R7</f>
        <v>13347</v>
      </c>
      <c r="T7" s="1">
        <v>801</v>
      </c>
      <c r="U7" s="1">
        <v>101</v>
      </c>
      <c r="V7" s="1">
        <v>0</v>
      </c>
      <c r="W7" s="11">
        <f t="shared" ref="W7:W70" si="4">+S7-SUM(T7:V7)</f>
        <v>12445</v>
      </c>
      <c r="X7" s="12"/>
      <c r="Y7" s="11"/>
      <c r="Z7" s="16" t="s">
        <v>549</v>
      </c>
    </row>
    <row r="8" spans="1:29">
      <c r="A8" s="9">
        <f t="shared" ref="A8:A39" si="5">+A7+1</f>
        <v>2</v>
      </c>
      <c r="B8" s="1" t="s">
        <v>28</v>
      </c>
      <c r="C8" s="1" t="s">
        <v>29</v>
      </c>
      <c r="D8" s="10" t="s">
        <v>27</v>
      </c>
      <c r="E8" s="11">
        <v>6674</v>
      </c>
      <c r="F8" s="11">
        <v>2669</v>
      </c>
      <c r="G8" s="11">
        <v>0</v>
      </c>
      <c r="H8" s="11">
        <v>4004</v>
      </c>
      <c r="I8" s="11">
        <f t="shared" si="0"/>
        <v>13347</v>
      </c>
      <c r="J8" s="1">
        <v>6674</v>
      </c>
      <c r="K8" s="1">
        <v>2669</v>
      </c>
      <c r="L8" s="1"/>
      <c r="M8" s="1">
        <v>4004</v>
      </c>
      <c r="N8" s="11">
        <f t="shared" si="1"/>
        <v>13347</v>
      </c>
      <c r="O8" s="1">
        <v>30</v>
      </c>
      <c r="P8" s="1">
        <v>0</v>
      </c>
      <c r="Q8" s="1">
        <f t="shared" si="2"/>
        <v>30</v>
      </c>
      <c r="R8" s="11">
        <v>0</v>
      </c>
      <c r="S8" s="11">
        <f t="shared" si="3"/>
        <v>13347</v>
      </c>
      <c r="T8" s="1">
        <v>801</v>
      </c>
      <c r="U8" s="1">
        <v>101</v>
      </c>
      <c r="V8" s="1">
        <v>0</v>
      </c>
      <c r="W8" s="11">
        <f t="shared" si="4"/>
        <v>12445</v>
      </c>
      <c r="X8" s="12"/>
      <c r="Y8" s="11"/>
    </row>
    <row r="9" spans="1:29">
      <c r="A9" s="9">
        <f t="shared" si="5"/>
        <v>3</v>
      </c>
      <c r="B9" s="1" t="s">
        <v>30</v>
      </c>
      <c r="C9" s="1" t="s">
        <v>31</v>
      </c>
      <c r="D9" s="10" t="s">
        <v>32</v>
      </c>
      <c r="E9" s="11">
        <v>6674</v>
      </c>
      <c r="F9" s="11">
        <v>2669</v>
      </c>
      <c r="G9" s="11">
        <v>0</v>
      </c>
      <c r="H9" s="11">
        <v>4004</v>
      </c>
      <c r="I9" s="11">
        <f t="shared" si="0"/>
        <v>13347</v>
      </c>
      <c r="J9" s="1">
        <v>6674</v>
      </c>
      <c r="K9" s="1">
        <v>2669</v>
      </c>
      <c r="L9" s="1"/>
      <c r="M9" s="1">
        <v>4004</v>
      </c>
      <c r="N9" s="11">
        <f t="shared" si="1"/>
        <v>13347</v>
      </c>
      <c r="O9" s="1">
        <v>30</v>
      </c>
      <c r="P9" s="1">
        <v>0</v>
      </c>
      <c r="Q9" s="1">
        <f t="shared" si="2"/>
        <v>30</v>
      </c>
      <c r="R9" s="11">
        <v>0</v>
      </c>
      <c r="S9" s="11">
        <f t="shared" si="3"/>
        <v>13347</v>
      </c>
      <c r="T9" s="1">
        <v>801</v>
      </c>
      <c r="U9" s="1">
        <v>101</v>
      </c>
      <c r="V9" s="1">
        <v>0</v>
      </c>
      <c r="W9" s="11">
        <f t="shared" si="4"/>
        <v>12445</v>
      </c>
      <c r="X9" s="12" t="s">
        <v>549</v>
      </c>
      <c r="Y9" s="11"/>
    </row>
    <row r="10" spans="1:29">
      <c r="A10" s="9">
        <f t="shared" si="5"/>
        <v>4</v>
      </c>
      <c r="B10" s="1" t="s">
        <v>33</v>
      </c>
      <c r="C10" s="1" t="s">
        <v>34</v>
      </c>
      <c r="D10" s="10" t="s">
        <v>35</v>
      </c>
      <c r="E10" s="11">
        <v>6674</v>
      </c>
      <c r="F10" s="11">
        <v>2669</v>
      </c>
      <c r="G10" s="11">
        <v>0</v>
      </c>
      <c r="H10" s="11">
        <v>4004</v>
      </c>
      <c r="I10" s="11">
        <f t="shared" si="0"/>
        <v>13347</v>
      </c>
      <c r="J10" s="1">
        <v>6674</v>
      </c>
      <c r="K10" s="1">
        <v>2669</v>
      </c>
      <c r="L10" s="1"/>
      <c r="M10" s="1">
        <v>4004</v>
      </c>
      <c r="N10" s="11">
        <f t="shared" si="1"/>
        <v>13347</v>
      </c>
      <c r="O10" s="1">
        <v>30</v>
      </c>
      <c r="P10" s="1">
        <v>0</v>
      </c>
      <c r="Q10" s="1">
        <f t="shared" si="2"/>
        <v>30</v>
      </c>
      <c r="R10" s="11">
        <v>0</v>
      </c>
      <c r="S10" s="11">
        <f t="shared" si="3"/>
        <v>13347</v>
      </c>
      <c r="T10" s="1">
        <v>801</v>
      </c>
      <c r="U10" s="1">
        <v>101</v>
      </c>
      <c r="V10" s="1">
        <v>0</v>
      </c>
      <c r="W10" s="11">
        <f t="shared" si="4"/>
        <v>12445</v>
      </c>
      <c r="X10" s="12"/>
      <c r="Y10" s="11"/>
    </row>
    <row r="11" spans="1:29">
      <c r="A11" s="9">
        <f t="shared" si="5"/>
        <v>5</v>
      </c>
      <c r="B11" s="1" t="s">
        <v>36</v>
      </c>
      <c r="C11" s="1" t="s">
        <v>37</v>
      </c>
      <c r="D11" s="10" t="s">
        <v>35</v>
      </c>
      <c r="E11" s="11">
        <v>6674</v>
      </c>
      <c r="F11" s="11">
        <v>2669</v>
      </c>
      <c r="G11" s="11">
        <v>0</v>
      </c>
      <c r="H11" s="11">
        <v>4004</v>
      </c>
      <c r="I11" s="11">
        <f t="shared" si="0"/>
        <v>13347</v>
      </c>
      <c r="J11" s="1">
        <v>6674</v>
      </c>
      <c r="K11" s="1">
        <v>2669</v>
      </c>
      <c r="L11" s="1"/>
      <c r="M11" s="1">
        <v>4004</v>
      </c>
      <c r="N11" s="11">
        <f t="shared" si="1"/>
        <v>13347</v>
      </c>
      <c r="O11" s="1">
        <v>30</v>
      </c>
      <c r="P11" s="1">
        <v>0</v>
      </c>
      <c r="Q11" s="1">
        <f t="shared" si="2"/>
        <v>30</v>
      </c>
      <c r="R11" s="11">
        <v>0</v>
      </c>
      <c r="S11" s="11">
        <f t="shared" si="3"/>
        <v>13347</v>
      </c>
      <c r="T11" s="1">
        <v>801</v>
      </c>
      <c r="U11" s="1">
        <v>101</v>
      </c>
      <c r="V11" s="1">
        <v>0</v>
      </c>
      <c r="W11" s="11">
        <f t="shared" si="4"/>
        <v>12445</v>
      </c>
      <c r="X11" s="12"/>
      <c r="Y11" s="11"/>
    </row>
    <row r="12" spans="1:29">
      <c r="A12" s="9">
        <f t="shared" si="5"/>
        <v>6</v>
      </c>
      <c r="B12" s="1" t="s">
        <v>38</v>
      </c>
      <c r="C12" s="1" t="s">
        <v>39</v>
      </c>
      <c r="D12" s="10" t="s">
        <v>35</v>
      </c>
      <c r="E12" s="11">
        <v>6674</v>
      </c>
      <c r="F12" s="11">
        <v>2669</v>
      </c>
      <c r="G12" s="11">
        <v>0</v>
      </c>
      <c r="H12" s="11">
        <v>4004</v>
      </c>
      <c r="I12" s="11">
        <f t="shared" si="0"/>
        <v>13347</v>
      </c>
      <c r="J12" s="1">
        <v>6674</v>
      </c>
      <c r="K12" s="1">
        <v>2669</v>
      </c>
      <c r="L12" s="1"/>
      <c r="M12" s="1">
        <v>4004</v>
      </c>
      <c r="N12" s="11">
        <f t="shared" si="1"/>
        <v>13347</v>
      </c>
      <c r="O12" s="1">
        <v>30</v>
      </c>
      <c r="P12" s="1">
        <v>0</v>
      </c>
      <c r="Q12" s="1">
        <f t="shared" si="2"/>
        <v>30</v>
      </c>
      <c r="R12" s="11">
        <v>0</v>
      </c>
      <c r="S12" s="11">
        <f t="shared" si="3"/>
        <v>13347</v>
      </c>
      <c r="T12" s="1">
        <v>801</v>
      </c>
      <c r="U12" s="1">
        <v>101</v>
      </c>
      <c r="V12" s="1">
        <v>0</v>
      </c>
      <c r="W12" s="11">
        <f t="shared" si="4"/>
        <v>12445</v>
      </c>
      <c r="X12" s="12"/>
      <c r="Y12" s="11"/>
    </row>
    <row r="13" spans="1:29">
      <c r="A13" s="9">
        <f t="shared" si="5"/>
        <v>7</v>
      </c>
      <c r="B13" s="1" t="s">
        <v>40</v>
      </c>
      <c r="C13" s="1" t="s">
        <v>41</v>
      </c>
      <c r="D13" s="10" t="s">
        <v>35</v>
      </c>
      <c r="E13" s="11">
        <v>6674</v>
      </c>
      <c r="F13" s="11">
        <v>2669</v>
      </c>
      <c r="G13" s="11">
        <v>0</v>
      </c>
      <c r="H13" s="11">
        <v>4004</v>
      </c>
      <c r="I13" s="11">
        <f t="shared" si="0"/>
        <v>13347</v>
      </c>
      <c r="J13" s="1">
        <v>6674</v>
      </c>
      <c r="K13" s="1">
        <v>2669</v>
      </c>
      <c r="L13" s="1"/>
      <c r="M13" s="1">
        <v>4004</v>
      </c>
      <c r="N13" s="11">
        <f t="shared" si="1"/>
        <v>13347</v>
      </c>
      <c r="O13" s="1">
        <v>30</v>
      </c>
      <c r="P13" s="1">
        <v>0</v>
      </c>
      <c r="Q13" s="1">
        <f t="shared" si="2"/>
        <v>30</v>
      </c>
      <c r="R13" s="11">
        <v>0</v>
      </c>
      <c r="S13" s="11">
        <f t="shared" si="3"/>
        <v>13347</v>
      </c>
      <c r="T13" s="1">
        <v>801</v>
      </c>
      <c r="U13" s="1">
        <v>101</v>
      </c>
      <c r="V13" s="1">
        <v>0</v>
      </c>
      <c r="W13" s="11">
        <f t="shared" si="4"/>
        <v>12445</v>
      </c>
      <c r="X13" s="12"/>
      <c r="Y13" s="11"/>
    </row>
    <row r="14" spans="1:29">
      <c r="A14" s="9">
        <f t="shared" si="5"/>
        <v>8</v>
      </c>
      <c r="B14" s="1" t="s">
        <v>42</v>
      </c>
      <c r="C14" s="1" t="s">
        <v>43</v>
      </c>
      <c r="D14" s="10" t="s">
        <v>35</v>
      </c>
      <c r="E14" s="11">
        <v>6674</v>
      </c>
      <c r="F14" s="11">
        <v>2669</v>
      </c>
      <c r="G14" s="11">
        <v>0</v>
      </c>
      <c r="H14" s="11">
        <v>4004</v>
      </c>
      <c r="I14" s="11">
        <f t="shared" si="0"/>
        <v>13347</v>
      </c>
      <c r="J14" s="1">
        <v>6674</v>
      </c>
      <c r="K14" s="1">
        <v>2669</v>
      </c>
      <c r="L14" s="1"/>
      <c r="M14" s="1">
        <v>4004</v>
      </c>
      <c r="N14" s="11">
        <f t="shared" si="1"/>
        <v>13347</v>
      </c>
      <c r="O14" s="1">
        <v>30</v>
      </c>
      <c r="P14" s="1">
        <v>0</v>
      </c>
      <c r="Q14" s="1">
        <f t="shared" si="2"/>
        <v>30</v>
      </c>
      <c r="R14" s="11">
        <v>0</v>
      </c>
      <c r="S14" s="11">
        <f t="shared" si="3"/>
        <v>13347</v>
      </c>
      <c r="T14" s="1">
        <v>801</v>
      </c>
      <c r="U14" s="1">
        <v>101</v>
      </c>
      <c r="V14" s="1">
        <v>0</v>
      </c>
      <c r="W14" s="11">
        <f t="shared" si="4"/>
        <v>12445</v>
      </c>
      <c r="X14" s="12"/>
      <c r="Y14" s="11"/>
    </row>
    <row r="15" spans="1:29">
      <c r="A15" s="9">
        <f t="shared" si="5"/>
        <v>9</v>
      </c>
      <c r="B15" s="1" t="s">
        <v>44</v>
      </c>
      <c r="C15" s="1" t="s">
        <v>45</v>
      </c>
      <c r="D15" s="10" t="s">
        <v>46</v>
      </c>
      <c r="E15" s="11">
        <v>6674</v>
      </c>
      <c r="F15" s="11">
        <v>2669</v>
      </c>
      <c r="G15" s="11">
        <v>0</v>
      </c>
      <c r="H15" s="11">
        <v>4004</v>
      </c>
      <c r="I15" s="11">
        <f t="shared" si="0"/>
        <v>13347</v>
      </c>
      <c r="J15" s="1">
        <v>6674</v>
      </c>
      <c r="K15" s="1">
        <v>2669</v>
      </c>
      <c r="L15" s="1"/>
      <c r="M15" s="1">
        <v>4004</v>
      </c>
      <c r="N15" s="11">
        <f t="shared" si="1"/>
        <v>13347</v>
      </c>
      <c r="O15" s="1">
        <v>30</v>
      </c>
      <c r="P15" s="1">
        <v>0</v>
      </c>
      <c r="Q15" s="1">
        <f t="shared" si="2"/>
        <v>30</v>
      </c>
      <c r="R15" s="11">
        <v>0</v>
      </c>
      <c r="S15" s="11">
        <f t="shared" si="3"/>
        <v>13347</v>
      </c>
      <c r="T15" s="1">
        <v>801</v>
      </c>
      <c r="U15" s="1">
        <v>101</v>
      </c>
      <c r="V15" s="1">
        <v>0</v>
      </c>
      <c r="W15" s="11">
        <f t="shared" si="4"/>
        <v>12445</v>
      </c>
      <c r="X15" s="12"/>
      <c r="Y15" s="11"/>
    </row>
    <row r="16" spans="1:29">
      <c r="A16" s="9">
        <f t="shared" si="5"/>
        <v>10</v>
      </c>
      <c r="B16" s="1" t="s">
        <v>47</v>
      </c>
      <c r="C16" s="1" t="s">
        <v>48</v>
      </c>
      <c r="D16" s="10" t="s">
        <v>49</v>
      </c>
      <c r="E16" s="11">
        <v>6674</v>
      </c>
      <c r="F16" s="11">
        <v>2669</v>
      </c>
      <c r="G16" s="11">
        <v>0</v>
      </c>
      <c r="H16" s="11">
        <v>4004</v>
      </c>
      <c r="I16" s="11">
        <f t="shared" si="0"/>
        <v>13347</v>
      </c>
      <c r="J16" s="1">
        <v>6674</v>
      </c>
      <c r="K16" s="1">
        <v>2669</v>
      </c>
      <c r="L16" s="1"/>
      <c r="M16" s="1">
        <v>4004</v>
      </c>
      <c r="N16" s="11">
        <f t="shared" si="1"/>
        <v>13347</v>
      </c>
      <c r="O16" s="1">
        <v>30</v>
      </c>
      <c r="P16" s="1">
        <v>0</v>
      </c>
      <c r="Q16" s="1">
        <f t="shared" si="2"/>
        <v>30</v>
      </c>
      <c r="R16" s="11">
        <v>0</v>
      </c>
      <c r="S16" s="11">
        <f t="shared" si="3"/>
        <v>13347</v>
      </c>
      <c r="T16" s="1">
        <v>801</v>
      </c>
      <c r="U16" s="1">
        <v>101</v>
      </c>
      <c r="V16" s="1">
        <v>0</v>
      </c>
      <c r="W16" s="11">
        <f t="shared" si="4"/>
        <v>12445</v>
      </c>
      <c r="X16" s="12"/>
      <c r="Y16" s="11"/>
    </row>
    <row r="17" spans="1:25">
      <c r="A17" s="9">
        <f t="shared" si="5"/>
        <v>11</v>
      </c>
      <c r="B17" s="1" t="s">
        <v>50</v>
      </c>
      <c r="C17" s="1" t="s">
        <v>51</v>
      </c>
      <c r="D17" s="10" t="s">
        <v>52</v>
      </c>
      <c r="E17" s="11">
        <v>6674</v>
      </c>
      <c r="F17" s="11">
        <v>2669</v>
      </c>
      <c r="G17" s="11">
        <v>0</v>
      </c>
      <c r="H17" s="11">
        <v>4004</v>
      </c>
      <c r="I17" s="11">
        <f t="shared" si="0"/>
        <v>13347</v>
      </c>
      <c r="J17" s="1">
        <v>6674</v>
      </c>
      <c r="K17" s="1">
        <v>2669</v>
      </c>
      <c r="L17" s="1"/>
      <c r="M17" s="1">
        <v>4004</v>
      </c>
      <c r="N17" s="11">
        <f t="shared" si="1"/>
        <v>13347</v>
      </c>
      <c r="O17" s="1">
        <v>30</v>
      </c>
      <c r="P17" s="1">
        <v>0</v>
      </c>
      <c r="Q17" s="1">
        <f t="shared" si="2"/>
        <v>30</v>
      </c>
      <c r="R17" s="11">
        <v>0</v>
      </c>
      <c r="S17" s="11">
        <f t="shared" si="3"/>
        <v>13347</v>
      </c>
      <c r="T17" s="1">
        <v>801</v>
      </c>
      <c r="U17" s="1">
        <v>101</v>
      </c>
      <c r="V17" s="1">
        <v>0</v>
      </c>
      <c r="W17" s="11">
        <f t="shared" si="4"/>
        <v>12445</v>
      </c>
      <c r="X17" s="12"/>
      <c r="Y17" s="11"/>
    </row>
    <row r="18" spans="1:25">
      <c r="A18" s="9">
        <f t="shared" si="5"/>
        <v>12</v>
      </c>
      <c r="B18" s="1" t="s">
        <v>53</v>
      </c>
      <c r="C18" s="1" t="s">
        <v>54</v>
      </c>
      <c r="D18" s="10" t="s">
        <v>55</v>
      </c>
      <c r="E18" s="11">
        <v>6674</v>
      </c>
      <c r="F18" s="11">
        <v>2669</v>
      </c>
      <c r="G18" s="11">
        <v>0</v>
      </c>
      <c r="H18" s="11">
        <v>4004</v>
      </c>
      <c r="I18" s="11">
        <f t="shared" si="0"/>
        <v>13347</v>
      </c>
      <c r="J18" s="1">
        <v>6674</v>
      </c>
      <c r="K18" s="1">
        <v>2669</v>
      </c>
      <c r="L18" s="1"/>
      <c r="M18" s="1">
        <v>4004</v>
      </c>
      <c r="N18" s="11">
        <f t="shared" si="1"/>
        <v>13347</v>
      </c>
      <c r="O18" s="1">
        <v>30</v>
      </c>
      <c r="P18" s="1">
        <v>0</v>
      </c>
      <c r="Q18" s="1">
        <f t="shared" si="2"/>
        <v>30</v>
      </c>
      <c r="R18" s="11">
        <v>0</v>
      </c>
      <c r="S18" s="11">
        <f t="shared" si="3"/>
        <v>13347</v>
      </c>
      <c r="T18" s="1">
        <v>801</v>
      </c>
      <c r="U18" s="1">
        <v>101</v>
      </c>
      <c r="V18" s="1">
        <v>0</v>
      </c>
      <c r="W18" s="11">
        <f t="shared" si="4"/>
        <v>12445</v>
      </c>
      <c r="X18" s="12"/>
      <c r="Y18" s="11"/>
    </row>
    <row r="19" spans="1:25">
      <c r="A19" s="9">
        <f t="shared" si="5"/>
        <v>13</v>
      </c>
      <c r="B19" s="1" t="s">
        <v>56</v>
      </c>
      <c r="C19" s="1" t="s">
        <v>57</v>
      </c>
      <c r="D19" s="10" t="s">
        <v>55</v>
      </c>
      <c r="E19" s="11">
        <v>6674</v>
      </c>
      <c r="F19" s="11">
        <v>2669</v>
      </c>
      <c r="G19" s="11">
        <v>0</v>
      </c>
      <c r="H19" s="11">
        <v>4004</v>
      </c>
      <c r="I19" s="11">
        <f t="shared" si="0"/>
        <v>13347</v>
      </c>
      <c r="J19" s="1">
        <v>6674</v>
      </c>
      <c r="K19" s="1">
        <v>2669</v>
      </c>
      <c r="L19" s="1"/>
      <c r="M19" s="1">
        <v>4004</v>
      </c>
      <c r="N19" s="11">
        <f t="shared" si="1"/>
        <v>13347</v>
      </c>
      <c r="O19" s="1">
        <v>30</v>
      </c>
      <c r="P19" s="1">
        <v>0</v>
      </c>
      <c r="Q19" s="1">
        <f t="shared" si="2"/>
        <v>30</v>
      </c>
      <c r="R19" s="11">
        <v>0</v>
      </c>
      <c r="S19" s="11">
        <f t="shared" si="3"/>
        <v>13347</v>
      </c>
      <c r="T19" s="1">
        <v>801</v>
      </c>
      <c r="U19" s="1">
        <v>101</v>
      </c>
      <c r="V19" s="1">
        <v>0</v>
      </c>
      <c r="W19" s="11">
        <f t="shared" si="4"/>
        <v>12445</v>
      </c>
      <c r="X19" s="12"/>
      <c r="Y19" s="11"/>
    </row>
    <row r="20" spans="1:25">
      <c r="A20" s="9">
        <f t="shared" si="5"/>
        <v>14</v>
      </c>
      <c r="B20" s="1" t="s">
        <v>58</v>
      </c>
      <c r="C20" s="1" t="s">
        <v>59</v>
      </c>
      <c r="D20" s="10" t="s">
        <v>60</v>
      </c>
      <c r="E20" s="11">
        <v>6674</v>
      </c>
      <c r="F20" s="11">
        <v>2669</v>
      </c>
      <c r="G20" s="11">
        <v>0</v>
      </c>
      <c r="H20" s="11">
        <v>4004</v>
      </c>
      <c r="I20" s="11">
        <f t="shared" si="0"/>
        <v>13347</v>
      </c>
      <c r="J20" s="1">
        <v>6674</v>
      </c>
      <c r="K20" s="1">
        <v>2669</v>
      </c>
      <c r="L20" s="1"/>
      <c r="M20" s="1">
        <v>4004</v>
      </c>
      <c r="N20" s="11">
        <f t="shared" si="1"/>
        <v>13347</v>
      </c>
      <c r="O20" s="1">
        <v>30</v>
      </c>
      <c r="P20" s="1">
        <v>0</v>
      </c>
      <c r="Q20" s="1">
        <f t="shared" si="2"/>
        <v>30</v>
      </c>
      <c r="R20" s="11">
        <v>0</v>
      </c>
      <c r="S20" s="11">
        <f t="shared" si="3"/>
        <v>13347</v>
      </c>
      <c r="T20" s="1">
        <v>801</v>
      </c>
      <c r="U20" s="1">
        <v>101</v>
      </c>
      <c r="V20" s="1">
        <v>0</v>
      </c>
      <c r="W20" s="11">
        <f t="shared" si="4"/>
        <v>12445</v>
      </c>
      <c r="X20" s="12"/>
      <c r="Y20" s="11"/>
    </row>
    <row r="21" spans="1:25">
      <c r="A21" s="9">
        <f t="shared" si="5"/>
        <v>15</v>
      </c>
      <c r="B21" s="1" t="s">
        <v>61</v>
      </c>
      <c r="C21" s="1" t="s">
        <v>62</v>
      </c>
      <c r="D21" s="10" t="s">
        <v>63</v>
      </c>
      <c r="E21" s="11">
        <v>6674</v>
      </c>
      <c r="F21" s="11">
        <v>2669</v>
      </c>
      <c r="G21" s="11">
        <v>0</v>
      </c>
      <c r="H21" s="11">
        <v>4004</v>
      </c>
      <c r="I21" s="11">
        <f t="shared" si="0"/>
        <v>13347</v>
      </c>
      <c r="J21" s="1">
        <v>6674</v>
      </c>
      <c r="K21" s="1">
        <v>2669</v>
      </c>
      <c r="L21" s="1"/>
      <c r="M21" s="1">
        <v>4004</v>
      </c>
      <c r="N21" s="11">
        <f t="shared" si="1"/>
        <v>13347</v>
      </c>
      <c r="O21" s="1">
        <v>30</v>
      </c>
      <c r="P21" s="1">
        <v>0</v>
      </c>
      <c r="Q21" s="1">
        <f t="shared" si="2"/>
        <v>30</v>
      </c>
      <c r="R21" s="11">
        <v>0</v>
      </c>
      <c r="S21" s="11">
        <f t="shared" si="3"/>
        <v>13347</v>
      </c>
      <c r="T21" s="1">
        <v>801</v>
      </c>
      <c r="U21" s="1">
        <v>101</v>
      </c>
      <c r="V21" s="1">
        <v>0</v>
      </c>
      <c r="W21" s="11">
        <f t="shared" si="4"/>
        <v>12445</v>
      </c>
      <c r="X21" s="12"/>
      <c r="Y21" s="11"/>
    </row>
    <row r="22" spans="1:25">
      <c r="A22" s="9">
        <f t="shared" si="5"/>
        <v>16</v>
      </c>
      <c r="B22" s="1" t="s">
        <v>64</v>
      </c>
      <c r="C22" s="1" t="s">
        <v>65</v>
      </c>
      <c r="D22" s="10" t="s">
        <v>66</v>
      </c>
      <c r="E22" s="11">
        <v>6674</v>
      </c>
      <c r="F22" s="11">
        <v>2669</v>
      </c>
      <c r="G22" s="11">
        <v>0</v>
      </c>
      <c r="H22" s="11">
        <v>4004</v>
      </c>
      <c r="I22" s="11">
        <f t="shared" si="0"/>
        <v>13347</v>
      </c>
      <c r="J22" s="1">
        <v>6674</v>
      </c>
      <c r="K22" s="1">
        <v>2669</v>
      </c>
      <c r="L22" s="1"/>
      <c r="M22" s="1">
        <v>4004</v>
      </c>
      <c r="N22" s="11">
        <f t="shared" si="1"/>
        <v>13347</v>
      </c>
      <c r="O22" s="1">
        <v>30</v>
      </c>
      <c r="P22" s="1">
        <v>0</v>
      </c>
      <c r="Q22" s="1">
        <f t="shared" si="2"/>
        <v>30</v>
      </c>
      <c r="R22" s="11">
        <v>0</v>
      </c>
      <c r="S22" s="11">
        <f t="shared" si="3"/>
        <v>13347</v>
      </c>
      <c r="T22" s="1">
        <v>801</v>
      </c>
      <c r="U22" s="1">
        <v>101</v>
      </c>
      <c r="V22" s="1">
        <v>0</v>
      </c>
      <c r="W22" s="11">
        <f t="shared" si="4"/>
        <v>12445</v>
      </c>
      <c r="X22" s="12"/>
      <c r="Y22" s="11"/>
    </row>
    <row r="23" spans="1:25">
      <c r="A23" s="9">
        <f t="shared" si="5"/>
        <v>17</v>
      </c>
      <c r="B23" s="1" t="s">
        <v>67</v>
      </c>
      <c r="C23" s="1" t="s">
        <v>68</v>
      </c>
      <c r="D23" s="10" t="s">
        <v>69</v>
      </c>
      <c r="E23" s="11">
        <v>6674</v>
      </c>
      <c r="F23" s="11">
        <v>2669</v>
      </c>
      <c r="G23" s="11">
        <v>0</v>
      </c>
      <c r="H23" s="11">
        <v>4004</v>
      </c>
      <c r="I23" s="11">
        <f t="shared" si="0"/>
        <v>13347</v>
      </c>
      <c r="J23" s="1">
        <v>6674</v>
      </c>
      <c r="K23" s="1">
        <v>2669</v>
      </c>
      <c r="L23" s="1"/>
      <c r="M23" s="1">
        <v>4004</v>
      </c>
      <c r="N23" s="11">
        <f t="shared" si="1"/>
        <v>13347</v>
      </c>
      <c r="O23" s="1">
        <v>30</v>
      </c>
      <c r="P23" s="1">
        <v>0</v>
      </c>
      <c r="Q23" s="1">
        <f t="shared" si="2"/>
        <v>30</v>
      </c>
      <c r="R23" s="11">
        <v>0</v>
      </c>
      <c r="S23" s="11">
        <f t="shared" si="3"/>
        <v>13347</v>
      </c>
      <c r="T23" s="1">
        <v>801</v>
      </c>
      <c r="U23" s="1">
        <v>101</v>
      </c>
      <c r="V23" s="1">
        <v>0</v>
      </c>
      <c r="W23" s="11">
        <f t="shared" si="4"/>
        <v>12445</v>
      </c>
      <c r="X23" s="12"/>
      <c r="Y23" s="11"/>
    </row>
    <row r="24" spans="1:25">
      <c r="A24" s="9">
        <f t="shared" si="5"/>
        <v>18</v>
      </c>
      <c r="B24" s="1" t="s">
        <v>70</v>
      </c>
      <c r="C24" s="1" t="s">
        <v>71</v>
      </c>
      <c r="D24" s="10" t="s">
        <v>72</v>
      </c>
      <c r="E24" s="11">
        <v>6674</v>
      </c>
      <c r="F24" s="11">
        <v>2669</v>
      </c>
      <c r="G24" s="11">
        <v>0</v>
      </c>
      <c r="H24" s="11">
        <v>4004</v>
      </c>
      <c r="I24" s="11">
        <f t="shared" si="0"/>
        <v>13347</v>
      </c>
      <c r="J24" s="1">
        <v>6674</v>
      </c>
      <c r="K24" s="1">
        <v>2669</v>
      </c>
      <c r="L24" s="1"/>
      <c r="M24" s="1">
        <v>4004</v>
      </c>
      <c r="N24" s="11">
        <f t="shared" si="1"/>
        <v>13347</v>
      </c>
      <c r="O24" s="1">
        <v>30</v>
      </c>
      <c r="P24" s="1">
        <v>0</v>
      </c>
      <c r="Q24" s="1">
        <f t="shared" si="2"/>
        <v>30</v>
      </c>
      <c r="R24" s="11">
        <v>0</v>
      </c>
      <c r="S24" s="11">
        <f t="shared" si="3"/>
        <v>13347</v>
      </c>
      <c r="T24" s="1">
        <v>801</v>
      </c>
      <c r="U24" s="1">
        <v>101</v>
      </c>
      <c r="V24" s="1">
        <v>0</v>
      </c>
      <c r="W24" s="11">
        <f t="shared" si="4"/>
        <v>12445</v>
      </c>
      <c r="X24" s="12"/>
      <c r="Y24" s="11"/>
    </row>
    <row r="25" spans="1:25">
      <c r="A25" s="9">
        <f t="shared" si="5"/>
        <v>19</v>
      </c>
      <c r="B25" s="1" t="s">
        <v>73</v>
      </c>
      <c r="C25" s="1" t="s">
        <v>74</v>
      </c>
      <c r="D25" s="10" t="s">
        <v>75</v>
      </c>
      <c r="E25" s="11">
        <v>6674</v>
      </c>
      <c r="F25" s="11">
        <v>2669</v>
      </c>
      <c r="G25" s="11">
        <v>0</v>
      </c>
      <c r="H25" s="11">
        <v>4004</v>
      </c>
      <c r="I25" s="11">
        <f t="shared" si="0"/>
        <v>13347</v>
      </c>
      <c r="J25" s="1">
        <v>6674</v>
      </c>
      <c r="K25" s="1">
        <v>2669</v>
      </c>
      <c r="L25" s="1"/>
      <c r="M25" s="1">
        <v>4004</v>
      </c>
      <c r="N25" s="11">
        <f t="shared" si="1"/>
        <v>13347</v>
      </c>
      <c r="O25" s="1">
        <v>30</v>
      </c>
      <c r="P25" s="1">
        <v>0</v>
      </c>
      <c r="Q25" s="1">
        <f t="shared" si="2"/>
        <v>30</v>
      </c>
      <c r="R25" s="11">
        <v>0</v>
      </c>
      <c r="S25" s="11">
        <f t="shared" si="3"/>
        <v>13347</v>
      </c>
      <c r="T25" s="1">
        <v>801</v>
      </c>
      <c r="U25" s="1">
        <v>101</v>
      </c>
      <c r="V25" s="1">
        <v>0</v>
      </c>
      <c r="W25" s="11">
        <f t="shared" si="4"/>
        <v>12445</v>
      </c>
      <c r="X25" s="12"/>
      <c r="Y25" s="11"/>
    </row>
    <row r="26" spans="1:25">
      <c r="A26" s="9">
        <f t="shared" si="5"/>
        <v>20</v>
      </c>
      <c r="B26" s="1" t="s">
        <v>76</v>
      </c>
      <c r="C26" s="1" t="s">
        <v>77</v>
      </c>
      <c r="D26" s="10" t="s">
        <v>78</v>
      </c>
      <c r="E26" s="11">
        <v>6674</v>
      </c>
      <c r="F26" s="11">
        <v>2669</v>
      </c>
      <c r="G26" s="11">
        <v>0</v>
      </c>
      <c r="H26" s="11">
        <v>4004</v>
      </c>
      <c r="I26" s="11">
        <f t="shared" si="0"/>
        <v>13347</v>
      </c>
      <c r="J26" s="1">
        <v>6674</v>
      </c>
      <c r="K26" s="1">
        <v>2669</v>
      </c>
      <c r="L26" s="1"/>
      <c r="M26" s="1">
        <v>4004</v>
      </c>
      <c r="N26" s="11">
        <f t="shared" si="1"/>
        <v>13347</v>
      </c>
      <c r="O26" s="1">
        <v>30</v>
      </c>
      <c r="P26" s="1">
        <v>0</v>
      </c>
      <c r="Q26" s="1">
        <f t="shared" si="2"/>
        <v>30</v>
      </c>
      <c r="R26" s="11">
        <v>0</v>
      </c>
      <c r="S26" s="11">
        <f t="shared" si="3"/>
        <v>13347</v>
      </c>
      <c r="T26" s="1">
        <v>801</v>
      </c>
      <c r="U26" s="1">
        <v>101</v>
      </c>
      <c r="V26" s="1">
        <v>0</v>
      </c>
      <c r="W26" s="11">
        <f t="shared" si="4"/>
        <v>12445</v>
      </c>
      <c r="X26" s="12"/>
      <c r="Y26" s="11"/>
    </row>
    <row r="27" spans="1:25">
      <c r="A27" s="9">
        <f t="shared" si="5"/>
        <v>21</v>
      </c>
      <c r="B27" s="1" t="s">
        <v>79</v>
      </c>
      <c r="C27" s="1" t="s">
        <v>80</v>
      </c>
      <c r="D27" s="10" t="s">
        <v>81</v>
      </c>
      <c r="E27" s="11">
        <v>6674</v>
      </c>
      <c r="F27" s="11">
        <v>2669</v>
      </c>
      <c r="G27" s="11">
        <v>0</v>
      </c>
      <c r="H27" s="11">
        <v>4004</v>
      </c>
      <c r="I27" s="11">
        <f t="shared" si="0"/>
        <v>13347</v>
      </c>
      <c r="J27" s="1">
        <v>6674</v>
      </c>
      <c r="K27" s="1">
        <v>2669</v>
      </c>
      <c r="L27" s="1"/>
      <c r="M27" s="1">
        <v>4004</v>
      </c>
      <c r="N27" s="11">
        <f t="shared" si="1"/>
        <v>13347</v>
      </c>
      <c r="O27" s="1">
        <v>30</v>
      </c>
      <c r="P27" s="1">
        <v>0</v>
      </c>
      <c r="Q27" s="1">
        <f t="shared" si="2"/>
        <v>30</v>
      </c>
      <c r="R27" s="11">
        <v>0</v>
      </c>
      <c r="S27" s="11">
        <f t="shared" si="3"/>
        <v>13347</v>
      </c>
      <c r="T27" s="1">
        <v>801</v>
      </c>
      <c r="U27" s="1">
        <v>101</v>
      </c>
      <c r="V27" s="1">
        <v>0</v>
      </c>
      <c r="W27" s="11">
        <f t="shared" si="4"/>
        <v>12445</v>
      </c>
      <c r="X27" s="12"/>
      <c r="Y27" s="11"/>
    </row>
    <row r="28" spans="1:25">
      <c r="A28" s="9">
        <f t="shared" si="5"/>
        <v>22</v>
      </c>
      <c r="B28" s="1" t="s">
        <v>82</v>
      </c>
      <c r="C28" s="1" t="s">
        <v>83</v>
      </c>
      <c r="D28" s="10" t="s">
        <v>84</v>
      </c>
      <c r="E28" s="11">
        <v>6674</v>
      </c>
      <c r="F28" s="11">
        <v>2669</v>
      </c>
      <c r="G28" s="11">
        <v>0</v>
      </c>
      <c r="H28" s="11">
        <v>4004</v>
      </c>
      <c r="I28" s="11">
        <f t="shared" si="0"/>
        <v>13347</v>
      </c>
      <c r="J28" s="1">
        <v>6674</v>
      </c>
      <c r="K28" s="1">
        <v>2669</v>
      </c>
      <c r="L28" s="1"/>
      <c r="M28" s="1">
        <v>4004</v>
      </c>
      <c r="N28" s="11">
        <f t="shared" si="1"/>
        <v>13347</v>
      </c>
      <c r="O28" s="1">
        <v>30</v>
      </c>
      <c r="P28" s="1">
        <v>0</v>
      </c>
      <c r="Q28" s="1">
        <f t="shared" si="2"/>
        <v>30</v>
      </c>
      <c r="R28" s="11">
        <v>0</v>
      </c>
      <c r="S28" s="11">
        <f t="shared" si="3"/>
        <v>13347</v>
      </c>
      <c r="T28" s="1">
        <v>801</v>
      </c>
      <c r="U28" s="1">
        <v>101</v>
      </c>
      <c r="V28" s="1">
        <v>0</v>
      </c>
      <c r="W28" s="11">
        <f t="shared" si="4"/>
        <v>12445</v>
      </c>
      <c r="X28" s="12"/>
      <c r="Y28" s="11"/>
    </row>
    <row r="29" spans="1:25">
      <c r="A29" s="9">
        <f t="shared" si="5"/>
        <v>23</v>
      </c>
      <c r="B29" s="1" t="s">
        <v>85</v>
      </c>
      <c r="C29" s="1" t="s">
        <v>86</v>
      </c>
      <c r="D29" s="10" t="s">
        <v>87</v>
      </c>
      <c r="E29" s="11">
        <v>6674</v>
      </c>
      <c r="F29" s="11">
        <v>2669</v>
      </c>
      <c r="G29" s="11">
        <v>0</v>
      </c>
      <c r="H29" s="11">
        <v>4004</v>
      </c>
      <c r="I29" s="11">
        <f t="shared" si="0"/>
        <v>13347</v>
      </c>
      <c r="J29" s="1">
        <v>6674</v>
      </c>
      <c r="K29" s="1">
        <v>2669</v>
      </c>
      <c r="L29" s="1"/>
      <c r="M29" s="1">
        <v>4004</v>
      </c>
      <c r="N29" s="11">
        <f t="shared" si="1"/>
        <v>13347</v>
      </c>
      <c r="O29" s="1">
        <v>30</v>
      </c>
      <c r="P29" s="1">
        <v>0</v>
      </c>
      <c r="Q29" s="1">
        <f t="shared" si="2"/>
        <v>30</v>
      </c>
      <c r="R29" s="11">
        <v>0</v>
      </c>
      <c r="S29" s="11">
        <f t="shared" si="3"/>
        <v>13347</v>
      </c>
      <c r="T29" s="1">
        <v>801</v>
      </c>
      <c r="U29" s="1">
        <v>101</v>
      </c>
      <c r="V29" s="1">
        <v>0</v>
      </c>
      <c r="W29" s="11">
        <f t="shared" si="4"/>
        <v>12445</v>
      </c>
      <c r="X29" s="12"/>
      <c r="Y29" s="11"/>
    </row>
    <row r="30" spans="1:25">
      <c r="A30" s="9">
        <f t="shared" si="5"/>
        <v>24</v>
      </c>
      <c r="B30" s="1" t="s">
        <v>88</v>
      </c>
      <c r="C30" s="1" t="s">
        <v>89</v>
      </c>
      <c r="D30" s="10" t="s">
        <v>90</v>
      </c>
      <c r="E30" s="11">
        <v>6674</v>
      </c>
      <c r="F30" s="11">
        <v>2669</v>
      </c>
      <c r="G30" s="11">
        <v>0</v>
      </c>
      <c r="H30" s="11">
        <v>4004</v>
      </c>
      <c r="I30" s="11">
        <f t="shared" si="0"/>
        <v>13347</v>
      </c>
      <c r="J30" s="1">
        <v>6674</v>
      </c>
      <c r="K30" s="1">
        <v>2669</v>
      </c>
      <c r="L30" s="1"/>
      <c r="M30" s="1">
        <v>4004</v>
      </c>
      <c r="N30" s="11">
        <f t="shared" si="1"/>
        <v>13347</v>
      </c>
      <c r="O30" s="1">
        <v>30</v>
      </c>
      <c r="P30" s="1">
        <v>0</v>
      </c>
      <c r="Q30" s="1">
        <f t="shared" si="2"/>
        <v>30</v>
      </c>
      <c r="R30" s="11">
        <v>0</v>
      </c>
      <c r="S30" s="11">
        <f t="shared" si="3"/>
        <v>13347</v>
      </c>
      <c r="T30" s="1">
        <v>801</v>
      </c>
      <c r="U30" s="1">
        <v>101</v>
      </c>
      <c r="V30" s="1">
        <v>0</v>
      </c>
      <c r="W30" s="11">
        <f t="shared" si="4"/>
        <v>12445</v>
      </c>
      <c r="X30" s="12"/>
      <c r="Y30" s="11"/>
    </row>
    <row r="31" spans="1:25">
      <c r="A31" s="9">
        <f t="shared" si="5"/>
        <v>25</v>
      </c>
      <c r="B31" s="1" t="s">
        <v>91</v>
      </c>
      <c r="C31" s="1" t="s">
        <v>92</v>
      </c>
      <c r="D31" s="10" t="s">
        <v>93</v>
      </c>
      <c r="E31" s="11">
        <v>6674</v>
      </c>
      <c r="F31" s="11">
        <v>2669</v>
      </c>
      <c r="G31" s="11">
        <v>0</v>
      </c>
      <c r="H31" s="11">
        <v>4004</v>
      </c>
      <c r="I31" s="11">
        <f t="shared" si="0"/>
        <v>13347</v>
      </c>
      <c r="J31" s="1">
        <v>6674</v>
      </c>
      <c r="K31" s="1">
        <v>2669</v>
      </c>
      <c r="L31" s="1"/>
      <c r="M31" s="1">
        <v>4004</v>
      </c>
      <c r="N31" s="11">
        <f t="shared" si="1"/>
        <v>13347</v>
      </c>
      <c r="O31" s="1">
        <v>30</v>
      </c>
      <c r="P31" s="1">
        <v>0</v>
      </c>
      <c r="Q31" s="1">
        <f t="shared" si="2"/>
        <v>30</v>
      </c>
      <c r="R31" s="11">
        <v>0</v>
      </c>
      <c r="S31" s="11">
        <f t="shared" si="3"/>
        <v>13347</v>
      </c>
      <c r="T31" s="1">
        <v>801</v>
      </c>
      <c r="U31" s="1">
        <v>101</v>
      </c>
      <c r="V31" s="1">
        <v>0</v>
      </c>
      <c r="W31" s="11">
        <f t="shared" si="4"/>
        <v>12445</v>
      </c>
      <c r="X31" s="12"/>
      <c r="Y31" s="11"/>
    </row>
    <row r="32" spans="1:25">
      <c r="A32" s="9">
        <f t="shared" si="5"/>
        <v>26</v>
      </c>
      <c r="B32" s="1" t="s">
        <v>94</v>
      </c>
      <c r="C32" s="1" t="s">
        <v>95</v>
      </c>
      <c r="D32" s="10" t="s">
        <v>96</v>
      </c>
      <c r="E32" s="11">
        <v>6674</v>
      </c>
      <c r="F32" s="11">
        <v>2669</v>
      </c>
      <c r="G32" s="11">
        <v>0</v>
      </c>
      <c r="H32" s="11">
        <v>4004</v>
      </c>
      <c r="I32" s="11">
        <f t="shared" si="0"/>
        <v>13347</v>
      </c>
      <c r="J32" s="1">
        <v>6674</v>
      </c>
      <c r="K32" s="1">
        <v>2669</v>
      </c>
      <c r="L32" s="1"/>
      <c r="M32" s="1">
        <v>4004</v>
      </c>
      <c r="N32" s="11">
        <f t="shared" si="1"/>
        <v>13347</v>
      </c>
      <c r="O32" s="1">
        <v>30</v>
      </c>
      <c r="P32" s="1">
        <v>0</v>
      </c>
      <c r="Q32" s="1">
        <f t="shared" si="2"/>
        <v>30</v>
      </c>
      <c r="R32" s="11">
        <v>0</v>
      </c>
      <c r="S32" s="11">
        <f t="shared" si="3"/>
        <v>13347</v>
      </c>
      <c r="T32" s="1">
        <v>801</v>
      </c>
      <c r="U32" s="1">
        <v>101</v>
      </c>
      <c r="V32" s="1">
        <v>0</v>
      </c>
      <c r="W32" s="11">
        <f t="shared" si="4"/>
        <v>12445</v>
      </c>
      <c r="X32" s="12"/>
      <c r="Y32" s="11"/>
    </row>
    <row r="33" spans="1:25">
      <c r="A33" s="9">
        <f t="shared" si="5"/>
        <v>27</v>
      </c>
      <c r="B33" s="1" t="s">
        <v>97</v>
      </c>
      <c r="C33" s="1" t="s">
        <v>98</v>
      </c>
      <c r="D33" s="10" t="s">
        <v>99</v>
      </c>
      <c r="E33" s="11">
        <v>6674</v>
      </c>
      <c r="F33" s="11">
        <v>2669</v>
      </c>
      <c r="G33" s="11">
        <v>0</v>
      </c>
      <c r="H33" s="11">
        <v>4004</v>
      </c>
      <c r="I33" s="11">
        <f t="shared" si="0"/>
        <v>13347</v>
      </c>
      <c r="J33" s="1">
        <v>6674</v>
      </c>
      <c r="K33" s="1">
        <v>2669</v>
      </c>
      <c r="L33" s="1"/>
      <c r="M33" s="1">
        <v>4004</v>
      </c>
      <c r="N33" s="11">
        <f t="shared" si="1"/>
        <v>13347</v>
      </c>
      <c r="O33" s="1">
        <v>30</v>
      </c>
      <c r="P33" s="1">
        <v>0</v>
      </c>
      <c r="Q33" s="1">
        <f t="shared" si="2"/>
        <v>30</v>
      </c>
      <c r="R33" s="11">
        <v>0</v>
      </c>
      <c r="S33" s="11">
        <f t="shared" si="3"/>
        <v>13347</v>
      </c>
      <c r="T33" s="1">
        <v>801</v>
      </c>
      <c r="U33" s="1">
        <v>101</v>
      </c>
      <c r="V33" s="1">
        <v>0</v>
      </c>
      <c r="W33" s="11">
        <f t="shared" si="4"/>
        <v>12445</v>
      </c>
      <c r="X33" s="12"/>
      <c r="Y33" s="11"/>
    </row>
    <row r="34" spans="1:25">
      <c r="A34" s="9">
        <f t="shared" si="5"/>
        <v>28</v>
      </c>
      <c r="B34" s="1" t="s">
        <v>100</v>
      </c>
      <c r="C34" s="1" t="s">
        <v>101</v>
      </c>
      <c r="D34" s="10" t="s">
        <v>102</v>
      </c>
      <c r="E34" s="11">
        <v>6674</v>
      </c>
      <c r="F34" s="11">
        <v>2669</v>
      </c>
      <c r="G34" s="11">
        <v>0</v>
      </c>
      <c r="H34" s="11">
        <v>4004</v>
      </c>
      <c r="I34" s="11">
        <f t="shared" si="0"/>
        <v>13347</v>
      </c>
      <c r="J34" s="1">
        <v>6674</v>
      </c>
      <c r="K34" s="1">
        <v>2669</v>
      </c>
      <c r="L34" s="1"/>
      <c r="M34" s="1">
        <v>4004</v>
      </c>
      <c r="N34" s="11">
        <f t="shared" si="1"/>
        <v>13347</v>
      </c>
      <c r="O34" s="1">
        <v>30</v>
      </c>
      <c r="P34" s="1">
        <v>0</v>
      </c>
      <c r="Q34" s="1">
        <f t="shared" si="2"/>
        <v>30</v>
      </c>
      <c r="R34" s="11">
        <v>0</v>
      </c>
      <c r="S34" s="11">
        <f t="shared" si="3"/>
        <v>13347</v>
      </c>
      <c r="T34" s="1">
        <v>801</v>
      </c>
      <c r="U34" s="1">
        <v>101</v>
      </c>
      <c r="V34" s="1">
        <v>0</v>
      </c>
      <c r="W34" s="11">
        <f t="shared" si="4"/>
        <v>12445</v>
      </c>
      <c r="X34" s="12"/>
      <c r="Y34" s="11"/>
    </row>
    <row r="35" spans="1:25">
      <c r="A35" s="9">
        <f t="shared" si="5"/>
        <v>29</v>
      </c>
      <c r="B35" s="1" t="s">
        <v>103</v>
      </c>
      <c r="C35" s="1" t="s">
        <v>104</v>
      </c>
      <c r="D35" s="10" t="s">
        <v>105</v>
      </c>
      <c r="E35" s="11">
        <v>6674</v>
      </c>
      <c r="F35" s="11">
        <v>2669</v>
      </c>
      <c r="G35" s="11">
        <v>0</v>
      </c>
      <c r="H35" s="11">
        <v>4004</v>
      </c>
      <c r="I35" s="11">
        <f t="shared" si="0"/>
        <v>13347</v>
      </c>
      <c r="J35" s="1">
        <v>6674</v>
      </c>
      <c r="K35" s="1">
        <v>2669</v>
      </c>
      <c r="L35" s="1"/>
      <c r="M35" s="1">
        <v>4004</v>
      </c>
      <c r="N35" s="11">
        <f t="shared" si="1"/>
        <v>13347</v>
      </c>
      <c r="O35" s="1">
        <v>30</v>
      </c>
      <c r="P35" s="1">
        <v>0</v>
      </c>
      <c r="Q35" s="1">
        <f t="shared" si="2"/>
        <v>30</v>
      </c>
      <c r="R35" s="11">
        <v>0</v>
      </c>
      <c r="S35" s="11">
        <f t="shared" si="3"/>
        <v>13347</v>
      </c>
      <c r="T35" s="1">
        <v>801</v>
      </c>
      <c r="U35" s="1">
        <v>101</v>
      </c>
      <c r="V35" s="1">
        <v>0</v>
      </c>
      <c r="W35" s="11">
        <f t="shared" si="4"/>
        <v>12445</v>
      </c>
      <c r="X35" s="12"/>
      <c r="Y35" s="11"/>
    </row>
    <row r="36" spans="1:25">
      <c r="A36" s="9">
        <f t="shared" si="5"/>
        <v>30</v>
      </c>
      <c r="B36" s="1" t="s">
        <v>106</v>
      </c>
      <c r="C36" s="1" t="s">
        <v>107</v>
      </c>
      <c r="D36" s="10" t="s">
        <v>108</v>
      </c>
      <c r="E36" s="11">
        <v>6674</v>
      </c>
      <c r="F36" s="11">
        <v>2669</v>
      </c>
      <c r="G36" s="11">
        <v>0</v>
      </c>
      <c r="H36" s="11">
        <v>4004</v>
      </c>
      <c r="I36" s="11">
        <f t="shared" si="0"/>
        <v>13347</v>
      </c>
      <c r="J36" s="1">
        <v>6674</v>
      </c>
      <c r="K36" s="1">
        <v>2669</v>
      </c>
      <c r="L36" s="1"/>
      <c r="M36" s="1">
        <v>4004</v>
      </c>
      <c r="N36" s="11">
        <f t="shared" si="1"/>
        <v>13347</v>
      </c>
      <c r="O36" s="1">
        <v>30</v>
      </c>
      <c r="P36" s="1">
        <v>0</v>
      </c>
      <c r="Q36" s="1">
        <f t="shared" si="2"/>
        <v>30</v>
      </c>
      <c r="R36" s="11">
        <v>0</v>
      </c>
      <c r="S36" s="11">
        <f t="shared" si="3"/>
        <v>13347</v>
      </c>
      <c r="T36" s="1">
        <v>801</v>
      </c>
      <c r="U36" s="1">
        <v>101</v>
      </c>
      <c r="V36" s="1">
        <v>0</v>
      </c>
      <c r="W36" s="11">
        <f t="shared" si="4"/>
        <v>12445</v>
      </c>
      <c r="X36" s="12"/>
      <c r="Y36" s="11"/>
    </row>
    <row r="37" spans="1:25">
      <c r="A37" s="9">
        <f t="shared" si="5"/>
        <v>31</v>
      </c>
      <c r="B37" s="1" t="s">
        <v>109</v>
      </c>
      <c r="C37" s="1" t="s">
        <v>110</v>
      </c>
      <c r="D37" s="10" t="s">
        <v>111</v>
      </c>
      <c r="E37" s="11">
        <v>6674</v>
      </c>
      <c r="F37" s="11">
        <v>2669</v>
      </c>
      <c r="G37" s="11">
        <v>0</v>
      </c>
      <c r="H37" s="11">
        <v>4004</v>
      </c>
      <c r="I37" s="11">
        <f t="shared" si="0"/>
        <v>13347</v>
      </c>
      <c r="J37" s="1">
        <v>6674</v>
      </c>
      <c r="K37" s="1">
        <v>2669</v>
      </c>
      <c r="L37" s="1"/>
      <c r="M37" s="1">
        <v>4004</v>
      </c>
      <c r="N37" s="11">
        <f t="shared" si="1"/>
        <v>13347</v>
      </c>
      <c r="O37" s="1">
        <v>30</v>
      </c>
      <c r="P37" s="1">
        <v>0</v>
      </c>
      <c r="Q37" s="1">
        <f t="shared" si="2"/>
        <v>30</v>
      </c>
      <c r="R37" s="11">
        <v>0</v>
      </c>
      <c r="S37" s="11">
        <f t="shared" si="3"/>
        <v>13347</v>
      </c>
      <c r="T37" s="1">
        <v>801</v>
      </c>
      <c r="U37" s="1">
        <v>101</v>
      </c>
      <c r="V37" s="1">
        <v>0</v>
      </c>
      <c r="W37" s="11">
        <f t="shared" si="4"/>
        <v>12445</v>
      </c>
      <c r="X37" s="12"/>
      <c r="Y37" s="11"/>
    </row>
    <row r="38" spans="1:25">
      <c r="A38" s="9">
        <f t="shared" si="5"/>
        <v>32</v>
      </c>
      <c r="B38" s="1" t="s">
        <v>112</v>
      </c>
      <c r="C38" s="1" t="s">
        <v>113</v>
      </c>
      <c r="D38" s="10" t="s">
        <v>114</v>
      </c>
      <c r="E38" s="11">
        <v>6674</v>
      </c>
      <c r="F38" s="11">
        <v>2669</v>
      </c>
      <c r="G38" s="11">
        <v>0</v>
      </c>
      <c r="H38" s="11">
        <v>4004</v>
      </c>
      <c r="I38" s="11">
        <f t="shared" si="0"/>
        <v>13347</v>
      </c>
      <c r="J38" s="1">
        <v>6674</v>
      </c>
      <c r="K38" s="1">
        <v>2669</v>
      </c>
      <c r="L38" s="1"/>
      <c r="M38" s="1">
        <v>4004</v>
      </c>
      <c r="N38" s="11">
        <f t="shared" si="1"/>
        <v>13347</v>
      </c>
      <c r="O38" s="1">
        <v>30</v>
      </c>
      <c r="P38" s="1">
        <v>0</v>
      </c>
      <c r="Q38" s="1">
        <f t="shared" si="2"/>
        <v>30</v>
      </c>
      <c r="R38" s="11">
        <v>0</v>
      </c>
      <c r="S38" s="11">
        <f t="shared" si="3"/>
        <v>13347</v>
      </c>
      <c r="T38" s="1">
        <v>801</v>
      </c>
      <c r="U38" s="1">
        <v>101</v>
      </c>
      <c r="V38" s="1">
        <v>0</v>
      </c>
      <c r="W38" s="11">
        <f t="shared" si="4"/>
        <v>12445</v>
      </c>
      <c r="X38" s="12"/>
      <c r="Y38" s="11"/>
    </row>
    <row r="39" spans="1:25">
      <c r="A39" s="9">
        <f t="shared" si="5"/>
        <v>33</v>
      </c>
      <c r="B39" s="1" t="s">
        <v>115</v>
      </c>
      <c r="C39" s="1" t="s">
        <v>116</v>
      </c>
      <c r="D39" s="10" t="s">
        <v>117</v>
      </c>
      <c r="E39" s="11">
        <v>6674</v>
      </c>
      <c r="F39" s="11">
        <v>2669</v>
      </c>
      <c r="G39" s="11">
        <v>0</v>
      </c>
      <c r="H39" s="11">
        <v>4004</v>
      </c>
      <c r="I39" s="11">
        <f t="shared" si="0"/>
        <v>13347</v>
      </c>
      <c r="J39" s="1">
        <v>6674</v>
      </c>
      <c r="K39" s="1">
        <v>2669</v>
      </c>
      <c r="L39" s="1"/>
      <c r="M39" s="1">
        <v>4004</v>
      </c>
      <c r="N39" s="11">
        <f t="shared" si="1"/>
        <v>13347</v>
      </c>
      <c r="O39" s="1">
        <v>30</v>
      </c>
      <c r="P39" s="1">
        <v>0</v>
      </c>
      <c r="Q39" s="1">
        <f t="shared" si="2"/>
        <v>30</v>
      </c>
      <c r="R39" s="11">
        <v>0</v>
      </c>
      <c r="S39" s="11">
        <f t="shared" si="3"/>
        <v>13347</v>
      </c>
      <c r="T39" s="1">
        <v>801</v>
      </c>
      <c r="U39" s="1">
        <v>101</v>
      </c>
      <c r="V39" s="1">
        <v>0</v>
      </c>
      <c r="W39" s="11">
        <f t="shared" si="4"/>
        <v>12445</v>
      </c>
      <c r="X39" s="12"/>
      <c r="Y39" s="11"/>
    </row>
    <row r="40" spans="1:25">
      <c r="A40" s="9">
        <f t="shared" ref="A40:A71" si="6">+A39+1</f>
        <v>34</v>
      </c>
      <c r="B40" s="1" t="s">
        <v>118</v>
      </c>
      <c r="C40" s="1" t="s">
        <v>119</v>
      </c>
      <c r="D40" s="10" t="s">
        <v>120</v>
      </c>
      <c r="E40" s="11">
        <v>6674</v>
      </c>
      <c r="F40" s="11">
        <v>2669</v>
      </c>
      <c r="G40" s="11">
        <v>0</v>
      </c>
      <c r="H40" s="11">
        <v>4004</v>
      </c>
      <c r="I40" s="11">
        <f t="shared" si="0"/>
        <v>13347</v>
      </c>
      <c r="J40" s="1">
        <v>6674</v>
      </c>
      <c r="K40" s="1">
        <v>2669</v>
      </c>
      <c r="L40" s="1"/>
      <c r="M40" s="1">
        <v>4004</v>
      </c>
      <c r="N40" s="11">
        <f t="shared" si="1"/>
        <v>13347</v>
      </c>
      <c r="O40" s="1">
        <v>30</v>
      </c>
      <c r="P40" s="1">
        <v>0</v>
      </c>
      <c r="Q40" s="1">
        <f t="shared" si="2"/>
        <v>30</v>
      </c>
      <c r="R40" s="11">
        <v>0</v>
      </c>
      <c r="S40" s="11">
        <f t="shared" si="3"/>
        <v>13347</v>
      </c>
      <c r="T40" s="1">
        <v>801</v>
      </c>
      <c r="U40" s="1">
        <v>101</v>
      </c>
      <c r="V40" s="1">
        <v>0</v>
      </c>
      <c r="W40" s="11">
        <f t="shared" si="4"/>
        <v>12445</v>
      </c>
      <c r="X40" s="12"/>
      <c r="Y40" s="11"/>
    </row>
    <row r="41" spans="1:25">
      <c r="A41" s="9">
        <f t="shared" si="6"/>
        <v>35</v>
      </c>
      <c r="B41" s="1" t="s">
        <v>121</v>
      </c>
      <c r="C41" s="1" t="s">
        <v>122</v>
      </c>
      <c r="D41" s="10" t="s">
        <v>123</v>
      </c>
      <c r="E41" s="11">
        <v>6674</v>
      </c>
      <c r="F41" s="11">
        <v>2669</v>
      </c>
      <c r="G41" s="11">
        <v>0</v>
      </c>
      <c r="H41" s="11">
        <v>4004</v>
      </c>
      <c r="I41" s="11">
        <f t="shared" si="0"/>
        <v>13347</v>
      </c>
      <c r="J41" s="1">
        <v>6674</v>
      </c>
      <c r="K41" s="1">
        <v>2669</v>
      </c>
      <c r="L41" s="1"/>
      <c r="M41" s="1">
        <v>4004</v>
      </c>
      <c r="N41" s="11">
        <f t="shared" si="1"/>
        <v>13347</v>
      </c>
      <c r="O41" s="1">
        <v>30</v>
      </c>
      <c r="P41" s="1">
        <v>0</v>
      </c>
      <c r="Q41" s="1">
        <f t="shared" si="2"/>
        <v>30</v>
      </c>
      <c r="R41" s="11">
        <v>0</v>
      </c>
      <c r="S41" s="11">
        <f t="shared" si="3"/>
        <v>13347</v>
      </c>
      <c r="T41" s="1">
        <v>801</v>
      </c>
      <c r="U41" s="1">
        <v>101</v>
      </c>
      <c r="V41" s="1">
        <v>0</v>
      </c>
      <c r="W41" s="11">
        <f t="shared" si="4"/>
        <v>12445</v>
      </c>
      <c r="X41" s="12"/>
      <c r="Y41" s="11"/>
    </row>
    <row r="42" spans="1:25">
      <c r="A42" s="9">
        <f t="shared" si="6"/>
        <v>36</v>
      </c>
      <c r="B42" s="1" t="s">
        <v>124</v>
      </c>
      <c r="C42" s="1" t="s">
        <v>125</v>
      </c>
      <c r="D42" s="10" t="s">
        <v>126</v>
      </c>
      <c r="E42" s="11">
        <v>6674</v>
      </c>
      <c r="F42" s="11">
        <v>2669</v>
      </c>
      <c r="G42" s="11">
        <v>0</v>
      </c>
      <c r="H42" s="11">
        <v>4004</v>
      </c>
      <c r="I42" s="11">
        <f t="shared" si="0"/>
        <v>13347</v>
      </c>
      <c r="J42" s="1">
        <v>6674</v>
      </c>
      <c r="K42" s="1">
        <v>2669</v>
      </c>
      <c r="L42" s="1"/>
      <c r="M42" s="1">
        <v>4004</v>
      </c>
      <c r="N42" s="11">
        <f t="shared" si="1"/>
        <v>13347</v>
      </c>
      <c r="O42" s="1">
        <v>30</v>
      </c>
      <c r="P42" s="1">
        <v>0</v>
      </c>
      <c r="Q42" s="1">
        <f t="shared" si="2"/>
        <v>30</v>
      </c>
      <c r="R42" s="11">
        <v>0</v>
      </c>
      <c r="S42" s="11">
        <f t="shared" si="3"/>
        <v>13347</v>
      </c>
      <c r="T42" s="1">
        <v>801</v>
      </c>
      <c r="U42" s="1">
        <v>101</v>
      </c>
      <c r="V42" s="1">
        <v>0</v>
      </c>
      <c r="W42" s="11">
        <f t="shared" si="4"/>
        <v>12445</v>
      </c>
      <c r="X42" s="12"/>
      <c r="Y42" s="11"/>
    </row>
    <row r="43" spans="1:25">
      <c r="A43" s="9">
        <f t="shared" si="6"/>
        <v>37</v>
      </c>
      <c r="B43" s="1" t="s">
        <v>127</v>
      </c>
      <c r="C43" s="1" t="s">
        <v>128</v>
      </c>
      <c r="D43" s="10" t="s">
        <v>129</v>
      </c>
      <c r="E43" s="11">
        <v>6674</v>
      </c>
      <c r="F43" s="11">
        <v>2669</v>
      </c>
      <c r="G43" s="11">
        <v>0</v>
      </c>
      <c r="H43" s="11">
        <v>4004</v>
      </c>
      <c r="I43" s="11">
        <f t="shared" si="0"/>
        <v>13347</v>
      </c>
      <c r="J43" s="1">
        <v>6674</v>
      </c>
      <c r="K43" s="1">
        <v>2669</v>
      </c>
      <c r="L43" s="1"/>
      <c r="M43" s="1">
        <v>4004</v>
      </c>
      <c r="N43" s="11">
        <f t="shared" si="1"/>
        <v>13347</v>
      </c>
      <c r="O43" s="1">
        <v>30</v>
      </c>
      <c r="P43" s="1">
        <v>0</v>
      </c>
      <c r="Q43" s="1">
        <f t="shared" si="2"/>
        <v>30</v>
      </c>
      <c r="R43" s="11">
        <v>0</v>
      </c>
      <c r="S43" s="11">
        <f t="shared" si="3"/>
        <v>13347</v>
      </c>
      <c r="T43" s="1">
        <v>801</v>
      </c>
      <c r="U43" s="1">
        <v>101</v>
      </c>
      <c r="V43" s="1">
        <v>0</v>
      </c>
      <c r="W43" s="11">
        <f t="shared" si="4"/>
        <v>12445</v>
      </c>
      <c r="X43" s="12"/>
      <c r="Y43" s="11"/>
    </row>
    <row r="44" spans="1:25">
      <c r="A44" s="9">
        <f t="shared" si="6"/>
        <v>38</v>
      </c>
      <c r="B44" s="1" t="s">
        <v>130</v>
      </c>
      <c r="C44" s="1" t="s">
        <v>131</v>
      </c>
      <c r="D44" s="10" t="s">
        <v>132</v>
      </c>
      <c r="E44" s="11">
        <v>6674</v>
      </c>
      <c r="F44" s="11">
        <v>2669</v>
      </c>
      <c r="G44" s="11">
        <v>0</v>
      </c>
      <c r="H44" s="11">
        <v>4004</v>
      </c>
      <c r="I44" s="11">
        <f t="shared" si="0"/>
        <v>13347</v>
      </c>
      <c r="J44" s="1">
        <v>6674</v>
      </c>
      <c r="K44" s="1">
        <v>2669</v>
      </c>
      <c r="L44" s="1"/>
      <c r="M44" s="1">
        <v>4004</v>
      </c>
      <c r="N44" s="11">
        <f t="shared" si="1"/>
        <v>13347</v>
      </c>
      <c r="O44" s="1">
        <v>30</v>
      </c>
      <c r="P44" s="1">
        <v>0</v>
      </c>
      <c r="Q44" s="1">
        <f t="shared" si="2"/>
        <v>30</v>
      </c>
      <c r="R44" s="11">
        <v>0</v>
      </c>
      <c r="S44" s="11">
        <f t="shared" si="3"/>
        <v>13347</v>
      </c>
      <c r="T44" s="1">
        <v>801</v>
      </c>
      <c r="U44" s="1">
        <v>101</v>
      </c>
      <c r="V44" s="1">
        <v>0</v>
      </c>
      <c r="W44" s="11">
        <f t="shared" si="4"/>
        <v>12445</v>
      </c>
      <c r="X44" s="12"/>
      <c r="Y44" s="11"/>
    </row>
    <row r="45" spans="1:25">
      <c r="A45" s="9">
        <f t="shared" si="6"/>
        <v>39</v>
      </c>
      <c r="B45" s="1" t="s">
        <v>133</v>
      </c>
      <c r="C45" s="1" t="s">
        <v>134</v>
      </c>
      <c r="D45" s="10" t="s">
        <v>135</v>
      </c>
      <c r="E45" s="11">
        <v>6674</v>
      </c>
      <c r="F45" s="11">
        <v>2669</v>
      </c>
      <c r="G45" s="11">
        <v>0</v>
      </c>
      <c r="H45" s="11">
        <v>4004</v>
      </c>
      <c r="I45" s="11">
        <f t="shared" si="0"/>
        <v>13347</v>
      </c>
      <c r="J45" s="1">
        <v>6674</v>
      </c>
      <c r="K45" s="1">
        <v>2669</v>
      </c>
      <c r="L45" s="1"/>
      <c r="M45" s="1">
        <v>4004</v>
      </c>
      <c r="N45" s="11">
        <f t="shared" si="1"/>
        <v>13347</v>
      </c>
      <c r="O45" s="1">
        <v>30</v>
      </c>
      <c r="P45" s="1">
        <v>0</v>
      </c>
      <c r="Q45" s="1">
        <f t="shared" si="2"/>
        <v>30</v>
      </c>
      <c r="R45" s="11">
        <v>0</v>
      </c>
      <c r="S45" s="11">
        <f t="shared" si="3"/>
        <v>13347</v>
      </c>
      <c r="T45" s="1">
        <v>801</v>
      </c>
      <c r="U45" s="1">
        <v>101</v>
      </c>
      <c r="V45" s="1">
        <v>0</v>
      </c>
      <c r="W45" s="11">
        <f t="shared" si="4"/>
        <v>12445</v>
      </c>
      <c r="X45" s="12"/>
      <c r="Y45" s="11"/>
    </row>
    <row r="46" spans="1:25">
      <c r="A46" s="9">
        <f t="shared" si="6"/>
        <v>40</v>
      </c>
      <c r="B46" s="1" t="s">
        <v>136</v>
      </c>
      <c r="C46" s="1" t="s">
        <v>137</v>
      </c>
      <c r="D46" s="10" t="s">
        <v>138</v>
      </c>
      <c r="E46" s="11">
        <v>6674</v>
      </c>
      <c r="F46" s="11">
        <v>2669</v>
      </c>
      <c r="G46" s="11">
        <v>0</v>
      </c>
      <c r="H46" s="11">
        <v>4004</v>
      </c>
      <c r="I46" s="11">
        <f t="shared" si="0"/>
        <v>13347</v>
      </c>
      <c r="J46" s="1">
        <v>6674</v>
      </c>
      <c r="K46" s="1">
        <v>2669</v>
      </c>
      <c r="L46" s="1"/>
      <c r="M46" s="1">
        <v>4004</v>
      </c>
      <c r="N46" s="11">
        <f t="shared" si="1"/>
        <v>13347</v>
      </c>
      <c r="O46" s="1">
        <v>30</v>
      </c>
      <c r="P46" s="1">
        <v>0</v>
      </c>
      <c r="Q46" s="1">
        <f t="shared" si="2"/>
        <v>30</v>
      </c>
      <c r="R46" s="11">
        <v>0</v>
      </c>
      <c r="S46" s="11">
        <f t="shared" si="3"/>
        <v>13347</v>
      </c>
      <c r="T46" s="1">
        <v>801</v>
      </c>
      <c r="U46" s="1">
        <v>101</v>
      </c>
      <c r="V46" s="1">
        <v>0</v>
      </c>
      <c r="W46" s="11">
        <f t="shared" si="4"/>
        <v>12445</v>
      </c>
      <c r="X46" s="12"/>
      <c r="Y46" s="11"/>
    </row>
    <row r="47" spans="1:25">
      <c r="A47" s="9">
        <f t="shared" si="6"/>
        <v>41</v>
      </c>
      <c r="B47" s="1" t="s">
        <v>139</v>
      </c>
      <c r="C47" s="1" t="s">
        <v>140</v>
      </c>
      <c r="D47" s="10" t="s">
        <v>141</v>
      </c>
      <c r="E47" s="11">
        <v>6674</v>
      </c>
      <c r="F47" s="11">
        <v>2669</v>
      </c>
      <c r="G47" s="11">
        <v>0</v>
      </c>
      <c r="H47" s="11">
        <v>4004</v>
      </c>
      <c r="I47" s="11">
        <f t="shared" si="0"/>
        <v>13347</v>
      </c>
      <c r="J47" s="1">
        <v>6674</v>
      </c>
      <c r="K47" s="1">
        <v>2669</v>
      </c>
      <c r="L47" s="1"/>
      <c r="M47" s="1">
        <v>4004</v>
      </c>
      <c r="N47" s="11">
        <f t="shared" si="1"/>
        <v>13347</v>
      </c>
      <c r="O47" s="1">
        <v>30</v>
      </c>
      <c r="P47" s="1">
        <v>0</v>
      </c>
      <c r="Q47" s="1">
        <f t="shared" si="2"/>
        <v>30</v>
      </c>
      <c r="R47" s="11">
        <v>0</v>
      </c>
      <c r="S47" s="11">
        <f t="shared" si="3"/>
        <v>13347</v>
      </c>
      <c r="T47" s="1">
        <v>801</v>
      </c>
      <c r="U47" s="1">
        <v>101</v>
      </c>
      <c r="V47" s="1">
        <v>0</v>
      </c>
      <c r="W47" s="11">
        <f t="shared" si="4"/>
        <v>12445</v>
      </c>
      <c r="X47" s="12"/>
      <c r="Y47" s="11"/>
    </row>
    <row r="48" spans="1:25">
      <c r="A48" s="9">
        <f t="shared" si="6"/>
        <v>42</v>
      </c>
      <c r="B48" s="1" t="s">
        <v>142</v>
      </c>
      <c r="C48" s="1" t="s">
        <v>143</v>
      </c>
      <c r="D48" s="10" t="s">
        <v>144</v>
      </c>
      <c r="E48" s="11">
        <v>6674</v>
      </c>
      <c r="F48" s="11">
        <v>2669</v>
      </c>
      <c r="G48" s="11">
        <v>0</v>
      </c>
      <c r="H48" s="11">
        <v>4004</v>
      </c>
      <c r="I48" s="11">
        <f t="shared" si="0"/>
        <v>13347</v>
      </c>
      <c r="J48" s="1">
        <v>6674</v>
      </c>
      <c r="K48" s="1">
        <v>2669</v>
      </c>
      <c r="L48" s="1"/>
      <c r="M48" s="1">
        <v>4004</v>
      </c>
      <c r="N48" s="11">
        <f t="shared" si="1"/>
        <v>13347</v>
      </c>
      <c r="O48" s="1">
        <v>30</v>
      </c>
      <c r="P48" s="1">
        <v>0</v>
      </c>
      <c r="Q48" s="1">
        <f t="shared" si="2"/>
        <v>30</v>
      </c>
      <c r="R48" s="11">
        <v>0</v>
      </c>
      <c r="S48" s="11">
        <f t="shared" si="3"/>
        <v>13347</v>
      </c>
      <c r="T48" s="1">
        <v>801</v>
      </c>
      <c r="U48" s="1">
        <v>101</v>
      </c>
      <c r="V48" s="1">
        <v>0</v>
      </c>
      <c r="W48" s="11">
        <f t="shared" si="4"/>
        <v>12445</v>
      </c>
      <c r="X48" s="12"/>
      <c r="Y48" s="11"/>
    </row>
    <row r="49" spans="1:25">
      <c r="A49" s="9">
        <f t="shared" si="6"/>
        <v>43</v>
      </c>
      <c r="B49" s="1" t="s">
        <v>145</v>
      </c>
      <c r="C49" s="1" t="s">
        <v>146</v>
      </c>
      <c r="D49" s="10" t="s">
        <v>147</v>
      </c>
      <c r="E49" s="11">
        <v>6674</v>
      </c>
      <c r="F49" s="11">
        <v>2669</v>
      </c>
      <c r="G49" s="11">
        <v>0</v>
      </c>
      <c r="H49" s="11">
        <v>4004</v>
      </c>
      <c r="I49" s="11">
        <f t="shared" si="0"/>
        <v>13347</v>
      </c>
      <c r="J49" s="1">
        <v>6674</v>
      </c>
      <c r="K49" s="1">
        <v>2669</v>
      </c>
      <c r="L49" s="1"/>
      <c r="M49" s="1">
        <v>4004</v>
      </c>
      <c r="N49" s="11">
        <f t="shared" si="1"/>
        <v>13347</v>
      </c>
      <c r="O49" s="1">
        <v>30</v>
      </c>
      <c r="P49" s="1">
        <v>0</v>
      </c>
      <c r="Q49" s="1">
        <f t="shared" si="2"/>
        <v>30</v>
      </c>
      <c r="R49" s="11">
        <v>0</v>
      </c>
      <c r="S49" s="11">
        <f t="shared" si="3"/>
        <v>13347</v>
      </c>
      <c r="T49" s="1">
        <v>801</v>
      </c>
      <c r="U49" s="1">
        <v>101</v>
      </c>
      <c r="V49" s="1">
        <v>0</v>
      </c>
      <c r="W49" s="11">
        <f t="shared" si="4"/>
        <v>12445</v>
      </c>
      <c r="X49" s="12"/>
      <c r="Y49" s="11"/>
    </row>
    <row r="50" spans="1:25">
      <c r="A50" s="9">
        <f t="shared" si="6"/>
        <v>44</v>
      </c>
      <c r="B50" s="1" t="s">
        <v>148</v>
      </c>
      <c r="C50" s="1" t="s">
        <v>149</v>
      </c>
      <c r="D50" s="10" t="s">
        <v>150</v>
      </c>
      <c r="E50" s="11">
        <v>6674</v>
      </c>
      <c r="F50" s="11">
        <v>2669</v>
      </c>
      <c r="G50" s="11">
        <v>0</v>
      </c>
      <c r="H50" s="11">
        <v>4004</v>
      </c>
      <c r="I50" s="11">
        <f t="shared" si="0"/>
        <v>13347</v>
      </c>
      <c r="J50" s="1">
        <v>6674</v>
      </c>
      <c r="K50" s="1">
        <v>2669</v>
      </c>
      <c r="L50" s="1"/>
      <c r="M50" s="1">
        <v>4004</v>
      </c>
      <c r="N50" s="11">
        <f t="shared" si="1"/>
        <v>13347</v>
      </c>
      <c r="O50" s="1">
        <v>30</v>
      </c>
      <c r="P50" s="1">
        <v>0</v>
      </c>
      <c r="Q50" s="1">
        <f t="shared" si="2"/>
        <v>30</v>
      </c>
      <c r="R50" s="11">
        <v>0</v>
      </c>
      <c r="S50" s="11">
        <f t="shared" si="3"/>
        <v>13347</v>
      </c>
      <c r="T50" s="1">
        <v>801</v>
      </c>
      <c r="U50" s="1">
        <v>101</v>
      </c>
      <c r="V50" s="1">
        <v>0</v>
      </c>
      <c r="W50" s="11">
        <f t="shared" si="4"/>
        <v>12445</v>
      </c>
      <c r="X50" s="12"/>
      <c r="Y50" s="11"/>
    </row>
    <row r="51" spans="1:25">
      <c r="A51" s="9">
        <f t="shared" si="6"/>
        <v>45</v>
      </c>
      <c r="B51" s="1" t="s">
        <v>151</v>
      </c>
      <c r="C51" s="1" t="s">
        <v>152</v>
      </c>
      <c r="D51" s="10" t="s">
        <v>153</v>
      </c>
      <c r="E51" s="11">
        <v>6674</v>
      </c>
      <c r="F51" s="11">
        <v>2669</v>
      </c>
      <c r="G51" s="11">
        <v>0</v>
      </c>
      <c r="H51" s="11">
        <v>4004</v>
      </c>
      <c r="I51" s="11">
        <f t="shared" si="0"/>
        <v>13347</v>
      </c>
      <c r="J51" s="1">
        <v>6674</v>
      </c>
      <c r="K51" s="1">
        <v>2669</v>
      </c>
      <c r="L51" s="1"/>
      <c r="M51" s="1">
        <v>4004</v>
      </c>
      <c r="N51" s="11">
        <f t="shared" si="1"/>
        <v>13347</v>
      </c>
      <c r="O51" s="1">
        <v>30</v>
      </c>
      <c r="P51" s="1">
        <v>0</v>
      </c>
      <c r="Q51" s="1">
        <f t="shared" si="2"/>
        <v>30</v>
      </c>
      <c r="R51" s="11">
        <v>0</v>
      </c>
      <c r="S51" s="11">
        <f t="shared" si="3"/>
        <v>13347</v>
      </c>
      <c r="T51" s="1">
        <v>801</v>
      </c>
      <c r="U51" s="1">
        <v>101</v>
      </c>
      <c r="V51" s="1">
        <v>0</v>
      </c>
      <c r="W51" s="11">
        <f t="shared" si="4"/>
        <v>12445</v>
      </c>
      <c r="X51" s="12"/>
      <c r="Y51" s="11"/>
    </row>
    <row r="52" spans="1:25">
      <c r="A52" s="9">
        <f t="shared" si="6"/>
        <v>46</v>
      </c>
      <c r="B52" s="1" t="s">
        <v>154</v>
      </c>
      <c r="C52" s="1" t="s">
        <v>155</v>
      </c>
      <c r="D52" s="10" t="s">
        <v>156</v>
      </c>
      <c r="E52" s="11">
        <v>6674</v>
      </c>
      <c r="F52" s="11">
        <v>2669</v>
      </c>
      <c r="G52" s="11">
        <v>0</v>
      </c>
      <c r="H52" s="11">
        <v>4004</v>
      </c>
      <c r="I52" s="11">
        <f t="shared" si="0"/>
        <v>13347</v>
      </c>
      <c r="J52" s="1">
        <v>6674</v>
      </c>
      <c r="K52" s="1">
        <v>2669</v>
      </c>
      <c r="L52" s="1"/>
      <c r="M52" s="1">
        <v>4004</v>
      </c>
      <c r="N52" s="11">
        <f t="shared" si="1"/>
        <v>13347</v>
      </c>
      <c r="O52" s="1">
        <v>30</v>
      </c>
      <c r="P52" s="1">
        <v>0</v>
      </c>
      <c r="Q52" s="1">
        <f t="shared" si="2"/>
        <v>30</v>
      </c>
      <c r="R52" s="11">
        <v>0</v>
      </c>
      <c r="S52" s="11">
        <f t="shared" si="3"/>
        <v>13347</v>
      </c>
      <c r="T52" s="1">
        <v>801</v>
      </c>
      <c r="U52" s="1">
        <v>101</v>
      </c>
      <c r="V52" s="1">
        <v>0</v>
      </c>
      <c r="W52" s="11">
        <f t="shared" si="4"/>
        <v>12445</v>
      </c>
      <c r="X52" s="12"/>
      <c r="Y52" s="11"/>
    </row>
    <row r="53" spans="1:25">
      <c r="A53" s="9">
        <f t="shared" si="6"/>
        <v>47</v>
      </c>
      <c r="B53" s="1" t="s">
        <v>157</v>
      </c>
      <c r="C53" s="1" t="s">
        <v>158</v>
      </c>
      <c r="D53" s="10" t="s">
        <v>159</v>
      </c>
      <c r="E53" s="11">
        <v>6674</v>
      </c>
      <c r="F53" s="11">
        <v>2669</v>
      </c>
      <c r="G53" s="11">
        <v>0</v>
      </c>
      <c r="H53" s="11">
        <v>4004</v>
      </c>
      <c r="I53" s="11">
        <f t="shared" si="0"/>
        <v>13347</v>
      </c>
      <c r="J53" s="1">
        <v>6674</v>
      </c>
      <c r="K53" s="1">
        <v>2669</v>
      </c>
      <c r="L53" s="1"/>
      <c r="M53" s="1">
        <v>4004</v>
      </c>
      <c r="N53" s="11">
        <f t="shared" si="1"/>
        <v>13347</v>
      </c>
      <c r="O53" s="1">
        <v>30</v>
      </c>
      <c r="P53" s="1">
        <v>0</v>
      </c>
      <c r="Q53" s="1">
        <f t="shared" si="2"/>
        <v>30</v>
      </c>
      <c r="R53" s="11">
        <v>0</v>
      </c>
      <c r="S53" s="11">
        <f t="shared" si="3"/>
        <v>13347</v>
      </c>
      <c r="T53" s="1">
        <v>801</v>
      </c>
      <c r="U53" s="1">
        <v>101</v>
      </c>
      <c r="V53" s="1">
        <v>0</v>
      </c>
      <c r="W53" s="11">
        <f t="shared" si="4"/>
        <v>12445</v>
      </c>
      <c r="X53" s="12"/>
      <c r="Y53" s="11"/>
    </row>
    <row r="54" spans="1:25">
      <c r="A54" s="9">
        <f t="shared" si="6"/>
        <v>48</v>
      </c>
      <c r="B54" s="1" t="s">
        <v>160</v>
      </c>
      <c r="C54" s="1" t="s">
        <v>161</v>
      </c>
      <c r="D54" s="10" t="s">
        <v>162</v>
      </c>
      <c r="E54" s="11">
        <v>6674</v>
      </c>
      <c r="F54" s="11">
        <v>2669</v>
      </c>
      <c r="G54" s="11">
        <v>0</v>
      </c>
      <c r="H54" s="11">
        <v>4004</v>
      </c>
      <c r="I54" s="11">
        <f t="shared" si="0"/>
        <v>13347</v>
      </c>
      <c r="J54" s="1">
        <v>6674</v>
      </c>
      <c r="K54" s="1">
        <v>2669</v>
      </c>
      <c r="L54" s="1"/>
      <c r="M54" s="1">
        <v>4004</v>
      </c>
      <c r="N54" s="11">
        <f t="shared" si="1"/>
        <v>13347</v>
      </c>
      <c r="O54" s="1">
        <v>30</v>
      </c>
      <c r="P54" s="1">
        <v>0</v>
      </c>
      <c r="Q54" s="1">
        <f t="shared" si="2"/>
        <v>30</v>
      </c>
      <c r="R54" s="11">
        <v>0</v>
      </c>
      <c r="S54" s="11">
        <f t="shared" si="3"/>
        <v>13347</v>
      </c>
      <c r="T54" s="1">
        <v>801</v>
      </c>
      <c r="U54" s="1">
        <v>101</v>
      </c>
      <c r="V54" s="1">
        <v>0</v>
      </c>
      <c r="W54" s="11">
        <f t="shared" si="4"/>
        <v>12445</v>
      </c>
      <c r="X54" s="12"/>
      <c r="Y54" s="11"/>
    </row>
    <row r="55" spans="1:25">
      <c r="A55" s="9">
        <f t="shared" si="6"/>
        <v>49</v>
      </c>
      <c r="B55" s="1" t="s">
        <v>163</v>
      </c>
      <c r="C55" s="1" t="s">
        <v>164</v>
      </c>
      <c r="D55" s="10" t="s">
        <v>165</v>
      </c>
      <c r="E55" s="11">
        <v>6674</v>
      </c>
      <c r="F55" s="11">
        <v>2669</v>
      </c>
      <c r="G55" s="11">
        <v>0</v>
      </c>
      <c r="H55" s="11">
        <v>4004</v>
      </c>
      <c r="I55" s="11">
        <f t="shared" si="0"/>
        <v>13347</v>
      </c>
      <c r="J55" s="1">
        <v>6674</v>
      </c>
      <c r="K55" s="1">
        <v>2669</v>
      </c>
      <c r="L55" s="1"/>
      <c r="M55" s="1">
        <v>4004</v>
      </c>
      <c r="N55" s="11">
        <f t="shared" si="1"/>
        <v>13347</v>
      </c>
      <c r="O55" s="1">
        <v>30</v>
      </c>
      <c r="P55" s="1">
        <v>0</v>
      </c>
      <c r="Q55" s="1">
        <f t="shared" si="2"/>
        <v>30</v>
      </c>
      <c r="R55" s="11">
        <v>0</v>
      </c>
      <c r="S55" s="11">
        <f t="shared" si="3"/>
        <v>13347</v>
      </c>
      <c r="T55" s="1">
        <v>801</v>
      </c>
      <c r="U55" s="1">
        <v>101</v>
      </c>
      <c r="V55" s="1">
        <v>0</v>
      </c>
      <c r="W55" s="11">
        <f t="shared" si="4"/>
        <v>12445</v>
      </c>
      <c r="X55" s="12"/>
      <c r="Y55" s="11"/>
    </row>
    <row r="56" spans="1:25">
      <c r="A56" s="9">
        <f t="shared" si="6"/>
        <v>50</v>
      </c>
      <c r="B56" s="1" t="s">
        <v>166</v>
      </c>
      <c r="C56" s="1" t="s">
        <v>167</v>
      </c>
      <c r="D56" s="10" t="s">
        <v>168</v>
      </c>
      <c r="E56" s="11">
        <v>6674</v>
      </c>
      <c r="F56" s="11">
        <v>2669</v>
      </c>
      <c r="G56" s="11">
        <v>0</v>
      </c>
      <c r="H56" s="11">
        <v>4004</v>
      </c>
      <c r="I56" s="11">
        <f t="shared" si="0"/>
        <v>13347</v>
      </c>
      <c r="J56" s="1">
        <v>6674</v>
      </c>
      <c r="K56" s="1">
        <v>2669</v>
      </c>
      <c r="L56" s="1"/>
      <c r="M56" s="1">
        <v>4004</v>
      </c>
      <c r="N56" s="11">
        <f t="shared" si="1"/>
        <v>13347</v>
      </c>
      <c r="O56" s="1">
        <v>30</v>
      </c>
      <c r="P56" s="1">
        <v>0</v>
      </c>
      <c r="Q56" s="1">
        <f t="shared" si="2"/>
        <v>30</v>
      </c>
      <c r="R56" s="11">
        <v>0</v>
      </c>
      <c r="S56" s="11">
        <f t="shared" si="3"/>
        <v>13347</v>
      </c>
      <c r="T56" s="1">
        <v>801</v>
      </c>
      <c r="U56" s="1">
        <v>101</v>
      </c>
      <c r="V56" s="1">
        <v>0</v>
      </c>
      <c r="W56" s="11">
        <f t="shared" si="4"/>
        <v>12445</v>
      </c>
      <c r="X56" s="12"/>
      <c r="Y56" s="11"/>
    </row>
    <row r="57" spans="1:25">
      <c r="A57" s="9">
        <f t="shared" si="6"/>
        <v>51</v>
      </c>
      <c r="B57" s="1" t="s">
        <v>169</v>
      </c>
      <c r="C57" s="1" t="s">
        <v>170</v>
      </c>
      <c r="D57" s="10" t="s">
        <v>168</v>
      </c>
      <c r="E57" s="11">
        <v>6674</v>
      </c>
      <c r="F57" s="11">
        <v>2669</v>
      </c>
      <c r="G57" s="11">
        <v>0</v>
      </c>
      <c r="H57" s="11">
        <v>4004</v>
      </c>
      <c r="I57" s="11">
        <f t="shared" si="0"/>
        <v>13347</v>
      </c>
      <c r="J57" s="1">
        <v>6674</v>
      </c>
      <c r="K57" s="1">
        <v>2669</v>
      </c>
      <c r="L57" s="1"/>
      <c r="M57" s="1">
        <v>4004</v>
      </c>
      <c r="N57" s="11">
        <f t="shared" si="1"/>
        <v>13347</v>
      </c>
      <c r="O57" s="1">
        <v>30</v>
      </c>
      <c r="P57" s="1">
        <v>0</v>
      </c>
      <c r="Q57" s="1">
        <f t="shared" si="2"/>
        <v>30</v>
      </c>
      <c r="R57" s="11">
        <v>0</v>
      </c>
      <c r="S57" s="11">
        <f t="shared" si="3"/>
        <v>13347</v>
      </c>
      <c r="T57" s="1">
        <v>801</v>
      </c>
      <c r="U57" s="1">
        <v>101</v>
      </c>
      <c r="V57" s="1">
        <v>0</v>
      </c>
      <c r="W57" s="11">
        <f t="shared" si="4"/>
        <v>12445</v>
      </c>
      <c r="X57" s="12"/>
      <c r="Y57" s="11"/>
    </row>
    <row r="58" spans="1:25">
      <c r="A58" s="9">
        <f t="shared" si="6"/>
        <v>52</v>
      </c>
      <c r="B58" s="1" t="s">
        <v>171</v>
      </c>
      <c r="C58" s="1" t="s">
        <v>172</v>
      </c>
      <c r="D58" s="10" t="s">
        <v>173</v>
      </c>
      <c r="E58" s="11">
        <v>6674</v>
      </c>
      <c r="F58" s="11">
        <v>2669</v>
      </c>
      <c r="G58" s="11">
        <v>0</v>
      </c>
      <c r="H58" s="11">
        <v>4004</v>
      </c>
      <c r="I58" s="11">
        <f t="shared" si="0"/>
        <v>13347</v>
      </c>
      <c r="J58" s="1">
        <v>6674</v>
      </c>
      <c r="K58" s="1">
        <v>2669</v>
      </c>
      <c r="L58" s="1"/>
      <c r="M58" s="1">
        <v>4004</v>
      </c>
      <c r="N58" s="11">
        <f t="shared" si="1"/>
        <v>13347</v>
      </c>
      <c r="O58" s="1">
        <v>30</v>
      </c>
      <c r="P58" s="1">
        <v>0</v>
      </c>
      <c r="Q58" s="1">
        <f t="shared" si="2"/>
        <v>30</v>
      </c>
      <c r="R58" s="11">
        <v>0</v>
      </c>
      <c r="S58" s="11">
        <f t="shared" si="3"/>
        <v>13347</v>
      </c>
      <c r="T58" s="1">
        <v>801</v>
      </c>
      <c r="U58" s="1">
        <v>101</v>
      </c>
      <c r="V58" s="1">
        <v>0</v>
      </c>
      <c r="W58" s="11">
        <f t="shared" si="4"/>
        <v>12445</v>
      </c>
      <c r="X58" s="12"/>
      <c r="Y58" s="11"/>
    </row>
    <row r="59" spans="1:25">
      <c r="A59" s="9">
        <f t="shared" si="6"/>
        <v>53</v>
      </c>
      <c r="B59" s="1" t="s">
        <v>174</v>
      </c>
      <c r="C59" s="1" t="s">
        <v>175</v>
      </c>
      <c r="D59" s="10" t="s">
        <v>176</v>
      </c>
      <c r="E59" s="11">
        <v>6674</v>
      </c>
      <c r="F59" s="11">
        <v>2669</v>
      </c>
      <c r="G59" s="11">
        <v>0</v>
      </c>
      <c r="H59" s="11">
        <v>4004</v>
      </c>
      <c r="I59" s="11">
        <f t="shared" si="0"/>
        <v>13347</v>
      </c>
      <c r="J59" s="1">
        <v>6674</v>
      </c>
      <c r="K59" s="1">
        <v>2669</v>
      </c>
      <c r="L59" s="1"/>
      <c r="M59" s="1">
        <v>4004</v>
      </c>
      <c r="N59" s="11">
        <f t="shared" si="1"/>
        <v>13347</v>
      </c>
      <c r="O59" s="1">
        <v>30</v>
      </c>
      <c r="P59" s="1">
        <v>0</v>
      </c>
      <c r="Q59" s="1">
        <f t="shared" si="2"/>
        <v>30</v>
      </c>
      <c r="R59" s="11">
        <v>0</v>
      </c>
      <c r="S59" s="11">
        <f t="shared" si="3"/>
        <v>13347</v>
      </c>
      <c r="T59" s="1">
        <v>801</v>
      </c>
      <c r="U59" s="1">
        <v>101</v>
      </c>
      <c r="V59" s="1">
        <v>0</v>
      </c>
      <c r="W59" s="11">
        <f t="shared" si="4"/>
        <v>12445</v>
      </c>
      <c r="X59" s="12"/>
      <c r="Y59" s="11"/>
    </row>
    <row r="60" spans="1:25">
      <c r="A60" s="9">
        <f t="shared" si="6"/>
        <v>54</v>
      </c>
      <c r="B60" s="1" t="s">
        <v>177</v>
      </c>
      <c r="C60" s="1" t="s">
        <v>178</v>
      </c>
      <c r="D60" s="10" t="s">
        <v>179</v>
      </c>
      <c r="E60" s="11">
        <v>6674</v>
      </c>
      <c r="F60" s="11">
        <v>2669</v>
      </c>
      <c r="G60" s="11">
        <v>0</v>
      </c>
      <c r="H60" s="11">
        <v>4004</v>
      </c>
      <c r="I60" s="11">
        <f t="shared" si="0"/>
        <v>13347</v>
      </c>
      <c r="J60" s="1">
        <v>6674</v>
      </c>
      <c r="K60" s="1">
        <v>2669</v>
      </c>
      <c r="L60" s="1"/>
      <c r="M60" s="1">
        <v>4004</v>
      </c>
      <c r="N60" s="11">
        <f t="shared" si="1"/>
        <v>13347</v>
      </c>
      <c r="O60" s="1">
        <v>30</v>
      </c>
      <c r="P60" s="1">
        <v>0</v>
      </c>
      <c r="Q60" s="1">
        <f t="shared" si="2"/>
        <v>30</v>
      </c>
      <c r="R60" s="11">
        <v>0</v>
      </c>
      <c r="S60" s="11">
        <f t="shared" si="3"/>
        <v>13347</v>
      </c>
      <c r="T60" s="1">
        <v>801</v>
      </c>
      <c r="U60" s="1">
        <v>101</v>
      </c>
      <c r="V60" s="1">
        <v>0</v>
      </c>
      <c r="W60" s="11">
        <f t="shared" si="4"/>
        <v>12445</v>
      </c>
      <c r="X60" s="12"/>
      <c r="Y60" s="11"/>
    </row>
    <row r="61" spans="1:25">
      <c r="A61" s="9">
        <f t="shared" si="6"/>
        <v>55</v>
      </c>
      <c r="B61" s="1" t="s">
        <v>180</v>
      </c>
      <c r="C61" s="1" t="s">
        <v>181</v>
      </c>
      <c r="D61" s="10" t="s">
        <v>182</v>
      </c>
      <c r="E61" s="11">
        <v>6674</v>
      </c>
      <c r="F61" s="11">
        <v>2669</v>
      </c>
      <c r="G61" s="11">
        <v>0</v>
      </c>
      <c r="H61" s="11">
        <v>4004</v>
      </c>
      <c r="I61" s="11">
        <f t="shared" si="0"/>
        <v>13347</v>
      </c>
      <c r="J61" s="1">
        <v>6674</v>
      </c>
      <c r="K61" s="1">
        <v>2669</v>
      </c>
      <c r="L61" s="1"/>
      <c r="M61" s="1">
        <v>4004</v>
      </c>
      <c r="N61" s="11">
        <f t="shared" si="1"/>
        <v>13347</v>
      </c>
      <c r="O61" s="1">
        <v>30</v>
      </c>
      <c r="P61" s="1">
        <v>0</v>
      </c>
      <c r="Q61" s="1">
        <f t="shared" si="2"/>
        <v>30</v>
      </c>
      <c r="R61" s="11">
        <v>0</v>
      </c>
      <c r="S61" s="11">
        <f t="shared" si="3"/>
        <v>13347</v>
      </c>
      <c r="T61" s="1">
        <v>801</v>
      </c>
      <c r="U61" s="1">
        <v>101</v>
      </c>
      <c r="V61" s="1">
        <v>0</v>
      </c>
      <c r="W61" s="11">
        <f t="shared" si="4"/>
        <v>12445</v>
      </c>
      <c r="X61" s="12"/>
      <c r="Y61" s="11"/>
    </row>
    <row r="62" spans="1:25">
      <c r="A62" s="9">
        <f t="shared" si="6"/>
        <v>56</v>
      </c>
      <c r="B62" s="1" t="s">
        <v>183</v>
      </c>
      <c r="C62" s="1" t="s">
        <v>184</v>
      </c>
      <c r="D62" s="10" t="s">
        <v>185</v>
      </c>
      <c r="E62" s="11">
        <v>6674</v>
      </c>
      <c r="F62" s="11">
        <v>2669</v>
      </c>
      <c r="G62" s="11">
        <v>0</v>
      </c>
      <c r="H62" s="11">
        <v>4004</v>
      </c>
      <c r="I62" s="11">
        <f t="shared" si="0"/>
        <v>13347</v>
      </c>
      <c r="J62" s="1">
        <v>6674</v>
      </c>
      <c r="K62" s="1">
        <v>2669</v>
      </c>
      <c r="L62" s="1"/>
      <c r="M62" s="1">
        <v>4004</v>
      </c>
      <c r="N62" s="11">
        <f t="shared" si="1"/>
        <v>13347</v>
      </c>
      <c r="O62" s="1">
        <v>30</v>
      </c>
      <c r="P62" s="1">
        <v>0</v>
      </c>
      <c r="Q62" s="1">
        <f t="shared" si="2"/>
        <v>30</v>
      </c>
      <c r="R62" s="11">
        <v>0</v>
      </c>
      <c r="S62" s="11">
        <f t="shared" si="3"/>
        <v>13347</v>
      </c>
      <c r="T62" s="1">
        <v>801</v>
      </c>
      <c r="U62" s="1">
        <v>101</v>
      </c>
      <c r="V62" s="1">
        <v>0</v>
      </c>
      <c r="W62" s="11">
        <f t="shared" si="4"/>
        <v>12445</v>
      </c>
      <c r="X62" s="12"/>
      <c r="Y62" s="11"/>
    </row>
    <row r="63" spans="1:25">
      <c r="A63" s="9">
        <f t="shared" si="6"/>
        <v>57</v>
      </c>
      <c r="B63" s="1" t="s">
        <v>186</v>
      </c>
      <c r="C63" s="1" t="s">
        <v>187</v>
      </c>
      <c r="D63" s="10" t="s">
        <v>185</v>
      </c>
      <c r="E63" s="11">
        <v>6674</v>
      </c>
      <c r="F63" s="11">
        <v>2669</v>
      </c>
      <c r="G63" s="11">
        <v>0</v>
      </c>
      <c r="H63" s="11">
        <v>4004</v>
      </c>
      <c r="I63" s="11">
        <f t="shared" si="0"/>
        <v>13347</v>
      </c>
      <c r="J63" s="1">
        <v>6674</v>
      </c>
      <c r="K63" s="1">
        <v>2669</v>
      </c>
      <c r="L63" s="1"/>
      <c r="M63" s="1">
        <v>4004</v>
      </c>
      <c r="N63" s="11">
        <f t="shared" si="1"/>
        <v>13347</v>
      </c>
      <c r="O63" s="1">
        <v>30</v>
      </c>
      <c r="P63" s="1">
        <v>0</v>
      </c>
      <c r="Q63" s="1">
        <f t="shared" si="2"/>
        <v>30</v>
      </c>
      <c r="R63" s="11">
        <v>0</v>
      </c>
      <c r="S63" s="11">
        <f t="shared" si="3"/>
        <v>13347</v>
      </c>
      <c r="T63" s="1">
        <v>801</v>
      </c>
      <c r="U63" s="1">
        <v>101</v>
      </c>
      <c r="V63" s="1">
        <v>0</v>
      </c>
      <c r="W63" s="11">
        <f t="shared" si="4"/>
        <v>12445</v>
      </c>
      <c r="X63" s="12"/>
      <c r="Y63" s="11"/>
    </row>
    <row r="64" spans="1:25">
      <c r="A64" s="9">
        <f t="shared" si="6"/>
        <v>58</v>
      </c>
      <c r="B64" s="1" t="s">
        <v>188</v>
      </c>
      <c r="C64" s="1" t="s">
        <v>189</v>
      </c>
      <c r="D64" s="10" t="s">
        <v>190</v>
      </c>
      <c r="E64" s="11">
        <v>6674</v>
      </c>
      <c r="F64" s="11">
        <v>2669</v>
      </c>
      <c r="G64" s="11">
        <v>0</v>
      </c>
      <c r="H64" s="11">
        <v>4004</v>
      </c>
      <c r="I64" s="11">
        <f t="shared" si="0"/>
        <v>13347</v>
      </c>
      <c r="J64" s="1">
        <v>6674</v>
      </c>
      <c r="K64" s="1">
        <v>2669</v>
      </c>
      <c r="L64" s="1"/>
      <c r="M64" s="1">
        <v>4004</v>
      </c>
      <c r="N64" s="11">
        <f t="shared" si="1"/>
        <v>13347</v>
      </c>
      <c r="O64" s="1">
        <v>30</v>
      </c>
      <c r="P64" s="1">
        <v>0</v>
      </c>
      <c r="Q64" s="1">
        <f t="shared" si="2"/>
        <v>30</v>
      </c>
      <c r="R64" s="11">
        <v>0</v>
      </c>
      <c r="S64" s="11">
        <f t="shared" si="3"/>
        <v>13347</v>
      </c>
      <c r="T64" s="1">
        <v>801</v>
      </c>
      <c r="U64" s="1">
        <v>101</v>
      </c>
      <c r="V64" s="1">
        <v>0</v>
      </c>
      <c r="W64" s="11">
        <f t="shared" si="4"/>
        <v>12445</v>
      </c>
      <c r="X64" s="12"/>
      <c r="Y64" s="11"/>
    </row>
    <row r="65" spans="1:25">
      <c r="A65" s="9">
        <f t="shared" si="6"/>
        <v>59</v>
      </c>
      <c r="B65" s="1" t="s">
        <v>191</v>
      </c>
      <c r="C65" s="1" t="s">
        <v>192</v>
      </c>
      <c r="D65" s="10" t="s">
        <v>193</v>
      </c>
      <c r="E65" s="11">
        <v>6674</v>
      </c>
      <c r="F65" s="11">
        <v>2669</v>
      </c>
      <c r="G65" s="11">
        <v>0</v>
      </c>
      <c r="H65" s="11">
        <v>4004</v>
      </c>
      <c r="I65" s="11">
        <f t="shared" si="0"/>
        <v>13347</v>
      </c>
      <c r="J65" s="1">
        <v>6674</v>
      </c>
      <c r="K65" s="1">
        <v>2669</v>
      </c>
      <c r="L65" s="1"/>
      <c r="M65" s="1">
        <v>4004</v>
      </c>
      <c r="N65" s="11">
        <f t="shared" si="1"/>
        <v>13347</v>
      </c>
      <c r="O65" s="1">
        <v>30</v>
      </c>
      <c r="P65" s="1">
        <v>0</v>
      </c>
      <c r="Q65" s="1">
        <f t="shared" si="2"/>
        <v>30</v>
      </c>
      <c r="R65" s="11">
        <v>0</v>
      </c>
      <c r="S65" s="11">
        <f t="shared" si="3"/>
        <v>13347</v>
      </c>
      <c r="T65" s="1">
        <v>801</v>
      </c>
      <c r="U65" s="1">
        <v>101</v>
      </c>
      <c r="V65" s="1">
        <v>0</v>
      </c>
      <c r="W65" s="11">
        <f t="shared" si="4"/>
        <v>12445</v>
      </c>
      <c r="X65" s="12"/>
      <c r="Y65" s="11"/>
    </row>
    <row r="66" spans="1:25">
      <c r="A66" s="9">
        <f t="shared" si="6"/>
        <v>60</v>
      </c>
      <c r="B66" s="1" t="s">
        <v>194</v>
      </c>
      <c r="C66" s="1" t="s">
        <v>195</v>
      </c>
      <c r="D66" s="10" t="s">
        <v>196</v>
      </c>
      <c r="E66" s="11">
        <v>6674</v>
      </c>
      <c r="F66" s="11">
        <v>2669</v>
      </c>
      <c r="G66" s="11">
        <v>0</v>
      </c>
      <c r="H66" s="11">
        <v>4004</v>
      </c>
      <c r="I66" s="11">
        <f t="shared" si="0"/>
        <v>13347</v>
      </c>
      <c r="J66" s="1">
        <v>6674</v>
      </c>
      <c r="K66" s="1">
        <v>2669</v>
      </c>
      <c r="L66" s="1"/>
      <c r="M66" s="1">
        <v>4004</v>
      </c>
      <c r="N66" s="11">
        <f t="shared" si="1"/>
        <v>13347</v>
      </c>
      <c r="O66" s="1">
        <v>30</v>
      </c>
      <c r="P66" s="1">
        <v>0</v>
      </c>
      <c r="Q66" s="1">
        <f t="shared" si="2"/>
        <v>30</v>
      </c>
      <c r="R66" s="11">
        <v>0</v>
      </c>
      <c r="S66" s="11">
        <f t="shared" si="3"/>
        <v>13347</v>
      </c>
      <c r="T66" s="1">
        <v>801</v>
      </c>
      <c r="U66" s="1">
        <v>101</v>
      </c>
      <c r="V66" s="1">
        <v>0</v>
      </c>
      <c r="W66" s="11">
        <f t="shared" si="4"/>
        <v>12445</v>
      </c>
      <c r="X66" s="12"/>
      <c r="Y66" s="11"/>
    </row>
    <row r="67" spans="1:25">
      <c r="A67" s="9">
        <f t="shared" si="6"/>
        <v>61</v>
      </c>
      <c r="B67" s="1" t="s">
        <v>197</v>
      </c>
      <c r="C67" s="1" t="s">
        <v>198</v>
      </c>
      <c r="D67" s="10" t="s">
        <v>196</v>
      </c>
      <c r="E67" s="11">
        <v>6674</v>
      </c>
      <c r="F67" s="11">
        <v>2669</v>
      </c>
      <c r="G67" s="11">
        <v>0</v>
      </c>
      <c r="H67" s="11">
        <v>4004</v>
      </c>
      <c r="I67" s="11">
        <f t="shared" si="0"/>
        <v>13347</v>
      </c>
      <c r="J67" s="1">
        <v>6674</v>
      </c>
      <c r="K67" s="1">
        <v>2669</v>
      </c>
      <c r="L67" s="1"/>
      <c r="M67" s="1">
        <v>4004</v>
      </c>
      <c r="N67" s="11">
        <f t="shared" si="1"/>
        <v>13347</v>
      </c>
      <c r="O67" s="1">
        <v>30</v>
      </c>
      <c r="P67" s="1">
        <v>0</v>
      </c>
      <c r="Q67" s="1">
        <f t="shared" si="2"/>
        <v>30</v>
      </c>
      <c r="R67" s="11">
        <v>0</v>
      </c>
      <c r="S67" s="11">
        <f t="shared" si="3"/>
        <v>13347</v>
      </c>
      <c r="T67" s="1">
        <v>801</v>
      </c>
      <c r="U67" s="1">
        <v>101</v>
      </c>
      <c r="V67" s="1">
        <v>0</v>
      </c>
      <c r="W67" s="11">
        <f t="shared" si="4"/>
        <v>12445</v>
      </c>
      <c r="X67" s="12"/>
      <c r="Y67" s="11"/>
    </row>
    <row r="68" spans="1:25">
      <c r="A68" s="9">
        <f t="shared" si="6"/>
        <v>62</v>
      </c>
      <c r="B68" s="1" t="s">
        <v>199</v>
      </c>
      <c r="C68" s="1" t="s">
        <v>200</v>
      </c>
      <c r="D68" s="10" t="s">
        <v>196</v>
      </c>
      <c r="E68" s="11">
        <v>6674</v>
      </c>
      <c r="F68" s="11">
        <v>2669</v>
      </c>
      <c r="G68" s="11">
        <v>0</v>
      </c>
      <c r="H68" s="11">
        <v>4004</v>
      </c>
      <c r="I68" s="11">
        <f t="shared" si="0"/>
        <v>13347</v>
      </c>
      <c r="J68" s="1">
        <v>6674</v>
      </c>
      <c r="K68" s="1">
        <v>2669</v>
      </c>
      <c r="L68" s="1"/>
      <c r="M68" s="1">
        <v>4004</v>
      </c>
      <c r="N68" s="11">
        <f t="shared" si="1"/>
        <v>13347</v>
      </c>
      <c r="O68" s="1">
        <v>30</v>
      </c>
      <c r="P68" s="1">
        <v>0</v>
      </c>
      <c r="Q68" s="1">
        <f t="shared" si="2"/>
        <v>30</v>
      </c>
      <c r="R68" s="11">
        <v>0</v>
      </c>
      <c r="S68" s="11">
        <f t="shared" si="3"/>
        <v>13347</v>
      </c>
      <c r="T68" s="1">
        <v>801</v>
      </c>
      <c r="U68" s="1">
        <v>101</v>
      </c>
      <c r="V68" s="1">
        <v>0</v>
      </c>
      <c r="W68" s="11">
        <f t="shared" si="4"/>
        <v>12445</v>
      </c>
      <c r="X68" s="12"/>
      <c r="Y68" s="11"/>
    </row>
    <row r="69" spans="1:25">
      <c r="A69" s="9">
        <f t="shared" si="6"/>
        <v>63</v>
      </c>
      <c r="B69" s="1" t="s">
        <v>201</v>
      </c>
      <c r="C69" s="1" t="s">
        <v>202</v>
      </c>
      <c r="D69" s="10" t="s">
        <v>203</v>
      </c>
      <c r="E69" s="11">
        <v>6674</v>
      </c>
      <c r="F69" s="11">
        <v>2669</v>
      </c>
      <c r="G69" s="11">
        <v>0</v>
      </c>
      <c r="H69" s="11">
        <v>4004</v>
      </c>
      <c r="I69" s="11">
        <f t="shared" si="0"/>
        <v>13347</v>
      </c>
      <c r="J69" s="1">
        <v>6674</v>
      </c>
      <c r="K69" s="1">
        <v>2669</v>
      </c>
      <c r="L69" s="1"/>
      <c r="M69" s="1">
        <v>4004</v>
      </c>
      <c r="N69" s="11">
        <f t="shared" si="1"/>
        <v>13347</v>
      </c>
      <c r="O69" s="1">
        <v>30</v>
      </c>
      <c r="P69" s="1">
        <v>0</v>
      </c>
      <c r="Q69" s="1">
        <f t="shared" si="2"/>
        <v>30</v>
      </c>
      <c r="R69" s="11">
        <v>0</v>
      </c>
      <c r="S69" s="11">
        <f t="shared" si="3"/>
        <v>13347</v>
      </c>
      <c r="T69" s="1">
        <v>801</v>
      </c>
      <c r="U69" s="1">
        <v>101</v>
      </c>
      <c r="V69" s="1">
        <v>0</v>
      </c>
      <c r="W69" s="11">
        <f t="shared" si="4"/>
        <v>12445</v>
      </c>
      <c r="X69" s="12"/>
      <c r="Y69" s="11"/>
    </row>
    <row r="70" spans="1:25">
      <c r="A70" s="9">
        <f t="shared" si="6"/>
        <v>64</v>
      </c>
      <c r="B70" s="1" t="s">
        <v>204</v>
      </c>
      <c r="C70" s="1" t="s">
        <v>205</v>
      </c>
      <c r="D70" s="10" t="s">
        <v>206</v>
      </c>
      <c r="E70" s="11">
        <v>6674</v>
      </c>
      <c r="F70" s="11">
        <v>2669</v>
      </c>
      <c r="G70" s="11">
        <v>0</v>
      </c>
      <c r="H70" s="11">
        <v>4004</v>
      </c>
      <c r="I70" s="11">
        <f t="shared" si="0"/>
        <v>13347</v>
      </c>
      <c r="J70" s="1">
        <v>6674</v>
      </c>
      <c r="K70" s="1">
        <v>2669</v>
      </c>
      <c r="L70" s="1"/>
      <c r="M70" s="1">
        <v>4004</v>
      </c>
      <c r="N70" s="11">
        <f t="shared" si="1"/>
        <v>13347</v>
      </c>
      <c r="O70" s="1">
        <v>30</v>
      </c>
      <c r="P70" s="1">
        <v>0</v>
      </c>
      <c r="Q70" s="1">
        <f t="shared" si="2"/>
        <v>30</v>
      </c>
      <c r="R70" s="11">
        <v>0</v>
      </c>
      <c r="S70" s="11">
        <f t="shared" si="3"/>
        <v>13347</v>
      </c>
      <c r="T70" s="1">
        <v>801</v>
      </c>
      <c r="U70" s="1">
        <v>101</v>
      </c>
      <c r="V70" s="1">
        <v>0</v>
      </c>
      <c r="W70" s="11">
        <f t="shared" si="4"/>
        <v>12445</v>
      </c>
      <c r="X70" s="12"/>
      <c r="Y70" s="11"/>
    </row>
    <row r="71" spans="1:25">
      <c r="A71" s="9">
        <f t="shared" si="6"/>
        <v>65</v>
      </c>
      <c r="B71" s="1" t="s">
        <v>207</v>
      </c>
      <c r="C71" s="1" t="s">
        <v>208</v>
      </c>
      <c r="D71" s="10" t="s">
        <v>209</v>
      </c>
      <c r="E71" s="11">
        <v>6674</v>
      </c>
      <c r="F71" s="11">
        <v>2669</v>
      </c>
      <c r="G71" s="11">
        <v>0</v>
      </c>
      <c r="H71" s="11">
        <v>4004</v>
      </c>
      <c r="I71" s="11">
        <f t="shared" ref="I71:I134" si="7">SUM(E71:H71)</f>
        <v>13347</v>
      </c>
      <c r="J71" s="1">
        <v>6674</v>
      </c>
      <c r="K71" s="1">
        <v>2669</v>
      </c>
      <c r="L71" s="1"/>
      <c r="M71" s="1">
        <v>4004</v>
      </c>
      <c r="N71" s="11">
        <f t="shared" ref="N71:N134" si="8">+SUM(J71:M71)</f>
        <v>13347</v>
      </c>
      <c r="O71" s="1">
        <v>30</v>
      </c>
      <c r="P71" s="1">
        <v>0</v>
      </c>
      <c r="Q71" s="1">
        <f t="shared" ref="Q71:Q134" si="9">O71-P71</f>
        <v>30</v>
      </c>
      <c r="R71" s="11">
        <v>0</v>
      </c>
      <c r="S71" s="11">
        <f t="shared" ref="S71:S134" si="10">+N71+R71</f>
        <v>13347</v>
      </c>
      <c r="T71" s="1">
        <v>801</v>
      </c>
      <c r="U71" s="1">
        <v>101</v>
      </c>
      <c r="V71" s="1">
        <v>0</v>
      </c>
      <c r="W71" s="11">
        <f t="shared" ref="W71:W134" si="11">+S71-SUM(T71:V71)</f>
        <v>12445</v>
      </c>
      <c r="X71" s="12"/>
      <c r="Y71" s="11"/>
    </row>
    <row r="72" spans="1:25">
      <c r="A72" s="9">
        <f t="shared" ref="A72:A103" si="12">+A71+1</f>
        <v>66</v>
      </c>
      <c r="B72" s="1" t="s">
        <v>210</v>
      </c>
      <c r="C72" s="1" t="s">
        <v>211</v>
      </c>
      <c r="D72" s="10" t="s">
        <v>212</v>
      </c>
      <c r="E72" s="11">
        <v>6674</v>
      </c>
      <c r="F72" s="11">
        <v>2669</v>
      </c>
      <c r="G72" s="11">
        <v>0</v>
      </c>
      <c r="H72" s="11">
        <v>4004</v>
      </c>
      <c r="I72" s="11">
        <f t="shared" si="7"/>
        <v>13347</v>
      </c>
      <c r="J72" s="1">
        <v>6674</v>
      </c>
      <c r="K72" s="1">
        <v>2669</v>
      </c>
      <c r="L72" s="1"/>
      <c r="M72" s="1">
        <v>4004</v>
      </c>
      <c r="N72" s="11">
        <f t="shared" si="8"/>
        <v>13347</v>
      </c>
      <c r="O72" s="1">
        <v>30</v>
      </c>
      <c r="P72" s="1">
        <v>0</v>
      </c>
      <c r="Q72" s="1">
        <f t="shared" si="9"/>
        <v>30</v>
      </c>
      <c r="R72" s="11">
        <v>0</v>
      </c>
      <c r="S72" s="11">
        <f t="shared" si="10"/>
        <v>13347</v>
      </c>
      <c r="T72" s="1">
        <v>801</v>
      </c>
      <c r="U72" s="1">
        <v>101</v>
      </c>
      <c r="V72" s="1">
        <v>0</v>
      </c>
      <c r="W72" s="11">
        <f t="shared" si="11"/>
        <v>12445</v>
      </c>
      <c r="X72" s="12"/>
      <c r="Y72" s="11"/>
    </row>
    <row r="73" spans="1:25">
      <c r="A73" s="9">
        <f t="shared" si="12"/>
        <v>67</v>
      </c>
      <c r="B73" s="1" t="s">
        <v>213</v>
      </c>
      <c r="C73" s="1" t="s">
        <v>214</v>
      </c>
      <c r="D73" s="10" t="s">
        <v>215</v>
      </c>
      <c r="E73" s="11">
        <v>6674</v>
      </c>
      <c r="F73" s="11">
        <v>2669</v>
      </c>
      <c r="G73" s="11">
        <v>0</v>
      </c>
      <c r="H73" s="11">
        <v>4004</v>
      </c>
      <c r="I73" s="11">
        <f t="shared" si="7"/>
        <v>13347</v>
      </c>
      <c r="J73" s="1">
        <v>6674</v>
      </c>
      <c r="K73" s="1">
        <v>2669</v>
      </c>
      <c r="L73" s="1"/>
      <c r="M73" s="1">
        <v>4004</v>
      </c>
      <c r="N73" s="11">
        <f t="shared" si="8"/>
        <v>13347</v>
      </c>
      <c r="O73" s="1">
        <v>30</v>
      </c>
      <c r="P73" s="1">
        <v>0</v>
      </c>
      <c r="Q73" s="1">
        <f t="shared" si="9"/>
        <v>30</v>
      </c>
      <c r="R73" s="11">
        <v>0</v>
      </c>
      <c r="S73" s="11">
        <f t="shared" si="10"/>
        <v>13347</v>
      </c>
      <c r="T73" s="1">
        <v>801</v>
      </c>
      <c r="U73" s="1">
        <v>101</v>
      </c>
      <c r="V73" s="1">
        <v>0</v>
      </c>
      <c r="W73" s="11">
        <f t="shared" si="11"/>
        <v>12445</v>
      </c>
      <c r="X73" s="12"/>
      <c r="Y73" s="11"/>
    </row>
    <row r="74" spans="1:25">
      <c r="A74" s="9">
        <f t="shared" si="12"/>
        <v>68</v>
      </c>
      <c r="B74" s="1" t="s">
        <v>216</v>
      </c>
      <c r="C74" s="1" t="s">
        <v>217</v>
      </c>
      <c r="D74" s="10" t="s">
        <v>218</v>
      </c>
      <c r="E74" s="11">
        <v>6674</v>
      </c>
      <c r="F74" s="11">
        <v>2669</v>
      </c>
      <c r="G74" s="11">
        <v>0</v>
      </c>
      <c r="H74" s="11">
        <v>4004</v>
      </c>
      <c r="I74" s="11">
        <f t="shared" si="7"/>
        <v>13347</v>
      </c>
      <c r="J74" s="1">
        <v>6674</v>
      </c>
      <c r="K74" s="1">
        <v>2669</v>
      </c>
      <c r="L74" s="1"/>
      <c r="M74" s="1">
        <v>4004</v>
      </c>
      <c r="N74" s="11">
        <f t="shared" si="8"/>
        <v>13347</v>
      </c>
      <c r="O74" s="1">
        <v>30</v>
      </c>
      <c r="P74" s="1">
        <v>0</v>
      </c>
      <c r="Q74" s="1">
        <f t="shared" si="9"/>
        <v>30</v>
      </c>
      <c r="R74" s="11">
        <v>0</v>
      </c>
      <c r="S74" s="11">
        <f t="shared" si="10"/>
        <v>13347</v>
      </c>
      <c r="T74" s="1">
        <v>801</v>
      </c>
      <c r="U74" s="1">
        <v>101</v>
      </c>
      <c r="V74" s="1">
        <v>0</v>
      </c>
      <c r="W74" s="11">
        <f t="shared" si="11"/>
        <v>12445</v>
      </c>
      <c r="X74" s="12"/>
      <c r="Y74" s="11"/>
    </row>
    <row r="75" spans="1:25">
      <c r="A75" s="9">
        <f t="shared" si="12"/>
        <v>69</v>
      </c>
      <c r="B75" s="1" t="s">
        <v>219</v>
      </c>
      <c r="C75" s="1" t="s">
        <v>220</v>
      </c>
      <c r="D75" s="10" t="s">
        <v>221</v>
      </c>
      <c r="E75" s="11">
        <v>6674</v>
      </c>
      <c r="F75" s="11">
        <v>2669</v>
      </c>
      <c r="G75" s="11">
        <v>0</v>
      </c>
      <c r="H75" s="11">
        <v>4004</v>
      </c>
      <c r="I75" s="11">
        <f t="shared" si="7"/>
        <v>13347</v>
      </c>
      <c r="J75" s="1">
        <v>6674</v>
      </c>
      <c r="K75" s="1">
        <v>2669</v>
      </c>
      <c r="L75" s="1"/>
      <c r="M75" s="1">
        <v>4004</v>
      </c>
      <c r="N75" s="11">
        <f t="shared" si="8"/>
        <v>13347</v>
      </c>
      <c r="O75" s="1">
        <v>30</v>
      </c>
      <c r="P75" s="1">
        <v>0</v>
      </c>
      <c r="Q75" s="1">
        <f t="shared" si="9"/>
        <v>30</v>
      </c>
      <c r="R75" s="11">
        <v>0</v>
      </c>
      <c r="S75" s="11">
        <f t="shared" si="10"/>
        <v>13347</v>
      </c>
      <c r="T75" s="1">
        <v>801</v>
      </c>
      <c r="U75" s="1">
        <v>101</v>
      </c>
      <c r="V75" s="1">
        <v>0</v>
      </c>
      <c r="W75" s="11">
        <f t="shared" si="11"/>
        <v>12445</v>
      </c>
      <c r="X75" s="12"/>
      <c r="Y75" s="11"/>
    </row>
    <row r="76" spans="1:25">
      <c r="A76" s="9">
        <f t="shared" si="12"/>
        <v>70</v>
      </c>
      <c r="B76" s="1" t="s">
        <v>222</v>
      </c>
      <c r="C76" s="1" t="s">
        <v>223</v>
      </c>
      <c r="D76" s="10" t="s">
        <v>224</v>
      </c>
      <c r="E76" s="11">
        <v>6674</v>
      </c>
      <c r="F76" s="11">
        <v>2669</v>
      </c>
      <c r="G76" s="11">
        <v>0</v>
      </c>
      <c r="H76" s="11">
        <v>4004</v>
      </c>
      <c r="I76" s="11">
        <f t="shared" si="7"/>
        <v>13347</v>
      </c>
      <c r="J76" s="1">
        <v>6674</v>
      </c>
      <c r="K76" s="1">
        <v>2669</v>
      </c>
      <c r="L76" s="1"/>
      <c r="M76" s="1">
        <v>4004</v>
      </c>
      <c r="N76" s="11">
        <f t="shared" si="8"/>
        <v>13347</v>
      </c>
      <c r="O76" s="1">
        <v>30</v>
      </c>
      <c r="P76" s="1">
        <v>0</v>
      </c>
      <c r="Q76" s="1">
        <f t="shared" si="9"/>
        <v>30</v>
      </c>
      <c r="R76" s="11">
        <v>0</v>
      </c>
      <c r="S76" s="11">
        <f t="shared" si="10"/>
        <v>13347</v>
      </c>
      <c r="T76" s="1">
        <v>801</v>
      </c>
      <c r="U76" s="1">
        <v>101</v>
      </c>
      <c r="V76" s="1">
        <v>0</v>
      </c>
      <c r="W76" s="11">
        <f t="shared" si="11"/>
        <v>12445</v>
      </c>
      <c r="X76" s="12"/>
      <c r="Y76" s="11"/>
    </row>
    <row r="77" spans="1:25">
      <c r="A77" s="9">
        <f t="shared" si="12"/>
        <v>71</v>
      </c>
      <c r="B77" s="1" t="s">
        <v>225</v>
      </c>
      <c r="C77" s="1" t="s">
        <v>226</v>
      </c>
      <c r="D77" s="10" t="s">
        <v>227</v>
      </c>
      <c r="E77" s="11">
        <v>6674</v>
      </c>
      <c r="F77" s="11">
        <v>2669</v>
      </c>
      <c r="G77" s="11">
        <v>0</v>
      </c>
      <c r="H77" s="11">
        <v>4004</v>
      </c>
      <c r="I77" s="11">
        <f t="shared" si="7"/>
        <v>13347</v>
      </c>
      <c r="J77" s="1">
        <v>6674</v>
      </c>
      <c r="K77" s="1">
        <v>2669</v>
      </c>
      <c r="L77" s="1"/>
      <c r="M77" s="1">
        <v>4004</v>
      </c>
      <c r="N77" s="11">
        <f t="shared" si="8"/>
        <v>13347</v>
      </c>
      <c r="O77" s="1">
        <v>30</v>
      </c>
      <c r="P77" s="1">
        <v>0</v>
      </c>
      <c r="Q77" s="1">
        <f t="shared" si="9"/>
        <v>30</v>
      </c>
      <c r="R77" s="11">
        <v>0</v>
      </c>
      <c r="S77" s="11">
        <f t="shared" si="10"/>
        <v>13347</v>
      </c>
      <c r="T77" s="1">
        <v>801</v>
      </c>
      <c r="U77" s="1">
        <v>101</v>
      </c>
      <c r="V77" s="1">
        <v>0</v>
      </c>
      <c r="W77" s="11">
        <f t="shared" si="11"/>
        <v>12445</v>
      </c>
      <c r="X77" s="12"/>
      <c r="Y77" s="11"/>
    </row>
    <row r="78" spans="1:25">
      <c r="A78" s="9">
        <f t="shared" si="12"/>
        <v>72</v>
      </c>
      <c r="B78" s="1" t="s">
        <v>228</v>
      </c>
      <c r="C78" s="1" t="s">
        <v>229</v>
      </c>
      <c r="D78" s="10" t="s">
        <v>230</v>
      </c>
      <c r="E78" s="11">
        <v>6674</v>
      </c>
      <c r="F78" s="11">
        <v>2669</v>
      </c>
      <c r="G78" s="11">
        <v>0</v>
      </c>
      <c r="H78" s="11">
        <v>4004</v>
      </c>
      <c r="I78" s="11">
        <f t="shared" si="7"/>
        <v>13347</v>
      </c>
      <c r="J78" s="1">
        <v>6674</v>
      </c>
      <c r="K78" s="1">
        <v>2669</v>
      </c>
      <c r="L78" s="1"/>
      <c r="M78" s="1">
        <v>4004</v>
      </c>
      <c r="N78" s="11">
        <f t="shared" si="8"/>
        <v>13347</v>
      </c>
      <c r="O78" s="1">
        <v>30</v>
      </c>
      <c r="P78" s="1">
        <v>0</v>
      </c>
      <c r="Q78" s="1">
        <f t="shared" si="9"/>
        <v>30</v>
      </c>
      <c r="R78" s="11">
        <v>0</v>
      </c>
      <c r="S78" s="11">
        <f t="shared" si="10"/>
        <v>13347</v>
      </c>
      <c r="T78" s="1">
        <v>801</v>
      </c>
      <c r="U78" s="1">
        <v>101</v>
      </c>
      <c r="V78" s="1">
        <v>0</v>
      </c>
      <c r="W78" s="11">
        <f t="shared" si="11"/>
        <v>12445</v>
      </c>
      <c r="X78" s="12"/>
      <c r="Y78" s="11"/>
    </row>
    <row r="79" spans="1:25">
      <c r="A79" s="9">
        <f t="shared" si="12"/>
        <v>73</v>
      </c>
      <c r="B79" s="1" t="s">
        <v>231</v>
      </c>
      <c r="C79" s="1" t="s">
        <v>232</v>
      </c>
      <c r="D79" s="10" t="s">
        <v>233</v>
      </c>
      <c r="E79" s="11">
        <v>6674</v>
      </c>
      <c r="F79" s="11">
        <v>2669</v>
      </c>
      <c r="G79" s="11">
        <v>0</v>
      </c>
      <c r="H79" s="11">
        <v>4004</v>
      </c>
      <c r="I79" s="11">
        <f t="shared" si="7"/>
        <v>13347</v>
      </c>
      <c r="J79" s="1">
        <v>6674</v>
      </c>
      <c r="K79" s="1">
        <v>2669</v>
      </c>
      <c r="L79" s="1"/>
      <c r="M79" s="1">
        <v>4004</v>
      </c>
      <c r="N79" s="11">
        <f t="shared" si="8"/>
        <v>13347</v>
      </c>
      <c r="O79" s="1">
        <v>30</v>
      </c>
      <c r="P79" s="1">
        <v>0</v>
      </c>
      <c r="Q79" s="1">
        <f t="shared" si="9"/>
        <v>30</v>
      </c>
      <c r="R79" s="11">
        <v>0</v>
      </c>
      <c r="S79" s="11">
        <f t="shared" si="10"/>
        <v>13347</v>
      </c>
      <c r="T79" s="1">
        <v>801</v>
      </c>
      <c r="U79" s="1">
        <v>101</v>
      </c>
      <c r="V79" s="1">
        <v>0</v>
      </c>
      <c r="W79" s="11">
        <f t="shared" si="11"/>
        <v>12445</v>
      </c>
      <c r="X79" s="12"/>
      <c r="Y79" s="11"/>
    </row>
    <row r="80" spans="1:25">
      <c r="A80" s="9">
        <f t="shared" si="12"/>
        <v>74</v>
      </c>
      <c r="B80" s="1" t="s">
        <v>234</v>
      </c>
      <c r="C80" s="1" t="s">
        <v>235</v>
      </c>
      <c r="D80" s="10" t="s">
        <v>236</v>
      </c>
      <c r="E80" s="11">
        <v>6674</v>
      </c>
      <c r="F80" s="11">
        <v>2669</v>
      </c>
      <c r="G80" s="11">
        <v>0</v>
      </c>
      <c r="H80" s="11">
        <v>4004</v>
      </c>
      <c r="I80" s="11">
        <f t="shared" si="7"/>
        <v>13347</v>
      </c>
      <c r="J80" s="1">
        <v>6674</v>
      </c>
      <c r="K80" s="1">
        <v>2669</v>
      </c>
      <c r="L80" s="1"/>
      <c r="M80" s="1">
        <v>4004</v>
      </c>
      <c r="N80" s="11">
        <f t="shared" si="8"/>
        <v>13347</v>
      </c>
      <c r="O80" s="1">
        <v>30</v>
      </c>
      <c r="P80" s="1">
        <v>0</v>
      </c>
      <c r="Q80" s="1">
        <f t="shared" si="9"/>
        <v>30</v>
      </c>
      <c r="R80" s="11">
        <v>0</v>
      </c>
      <c r="S80" s="11">
        <f t="shared" si="10"/>
        <v>13347</v>
      </c>
      <c r="T80" s="1">
        <v>801</v>
      </c>
      <c r="U80" s="1">
        <v>101</v>
      </c>
      <c r="V80" s="1">
        <v>0</v>
      </c>
      <c r="W80" s="11">
        <f t="shared" si="11"/>
        <v>12445</v>
      </c>
      <c r="X80" s="12"/>
      <c r="Y80" s="11"/>
    </row>
    <row r="81" spans="1:25">
      <c r="A81" s="9">
        <f t="shared" si="12"/>
        <v>75</v>
      </c>
      <c r="B81" s="1" t="s">
        <v>237</v>
      </c>
      <c r="C81" s="1" t="s">
        <v>238</v>
      </c>
      <c r="D81" s="10" t="s">
        <v>239</v>
      </c>
      <c r="E81" s="11">
        <v>6674</v>
      </c>
      <c r="F81" s="11">
        <v>2669</v>
      </c>
      <c r="G81" s="11">
        <v>0</v>
      </c>
      <c r="H81" s="11">
        <v>4004</v>
      </c>
      <c r="I81" s="11">
        <f t="shared" si="7"/>
        <v>13347</v>
      </c>
      <c r="J81" s="1">
        <v>6674</v>
      </c>
      <c r="K81" s="1">
        <v>2669</v>
      </c>
      <c r="L81" s="1"/>
      <c r="M81" s="1">
        <v>4004</v>
      </c>
      <c r="N81" s="11">
        <f t="shared" si="8"/>
        <v>13347</v>
      </c>
      <c r="O81" s="1">
        <v>30</v>
      </c>
      <c r="P81" s="1">
        <v>0</v>
      </c>
      <c r="Q81" s="1">
        <f t="shared" si="9"/>
        <v>30</v>
      </c>
      <c r="R81" s="11">
        <v>0</v>
      </c>
      <c r="S81" s="11">
        <f t="shared" si="10"/>
        <v>13347</v>
      </c>
      <c r="T81" s="1">
        <v>801</v>
      </c>
      <c r="U81" s="1">
        <v>101</v>
      </c>
      <c r="V81" s="1">
        <v>0</v>
      </c>
      <c r="W81" s="11">
        <f t="shared" si="11"/>
        <v>12445</v>
      </c>
      <c r="X81" s="12"/>
      <c r="Y81" s="11"/>
    </row>
    <row r="82" spans="1:25">
      <c r="A82" s="9">
        <f t="shared" si="12"/>
        <v>76</v>
      </c>
      <c r="B82" s="1" t="s">
        <v>240</v>
      </c>
      <c r="C82" s="1" t="s">
        <v>241</v>
      </c>
      <c r="D82" s="10" t="s">
        <v>242</v>
      </c>
      <c r="E82" s="11">
        <v>6674</v>
      </c>
      <c r="F82" s="11">
        <v>2669</v>
      </c>
      <c r="G82" s="11">
        <v>0</v>
      </c>
      <c r="H82" s="11">
        <v>4004</v>
      </c>
      <c r="I82" s="11">
        <f t="shared" si="7"/>
        <v>13347</v>
      </c>
      <c r="J82" s="1">
        <v>6674</v>
      </c>
      <c r="K82" s="1">
        <v>2669</v>
      </c>
      <c r="L82" s="1"/>
      <c r="M82" s="1">
        <v>4004</v>
      </c>
      <c r="N82" s="11">
        <f t="shared" si="8"/>
        <v>13347</v>
      </c>
      <c r="O82" s="1">
        <v>30</v>
      </c>
      <c r="P82" s="1">
        <v>0</v>
      </c>
      <c r="Q82" s="1">
        <f t="shared" si="9"/>
        <v>30</v>
      </c>
      <c r="R82" s="11">
        <v>0</v>
      </c>
      <c r="S82" s="11">
        <f t="shared" si="10"/>
        <v>13347</v>
      </c>
      <c r="T82" s="1">
        <v>801</v>
      </c>
      <c r="U82" s="1">
        <v>101</v>
      </c>
      <c r="V82" s="1">
        <v>0</v>
      </c>
      <c r="W82" s="11">
        <f t="shared" si="11"/>
        <v>12445</v>
      </c>
      <c r="X82" s="12"/>
      <c r="Y82" s="11"/>
    </row>
    <row r="83" spans="1:25">
      <c r="A83" s="9">
        <f t="shared" si="12"/>
        <v>77</v>
      </c>
      <c r="B83" s="1" t="s">
        <v>243</v>
      </c>
      <c r="C83" s="1" t="s">
        <v>244</v>
      </c>
      <c r="D83" s="10" t="s">
        <v>245</v>
      </c>
      <c r="E83" s="11">
        <v>6674</v>
      </c>
      <c r="F83" s="11">
        <v>2669</v>
      </c>
      <c r="G83" s="11">
        <v>0</v>
      </c>
      <c r="H83" s="11">
        <v>4004</v>
      </c>
      <c r="I83" s="11">
        <f t="shared" si="7"/>
        <v>13347</v>
      </c>
      <c r="J83" s="1">
        <v>6674</v>
      </c>
      <c r="K83" s="1">
        <v>2669</v>
      </c>
      <c r="L83" s="1"/>
      <c r="M83" s="1">
        <v>4004</v>
      </c>
      <c r="N83" s="11">
        <f t="shared" si="8"/>
        <v>13347</v>
      </c>
      <c r="O83" s="1">
        <v>30</v>
      </c>
      <c r="P83" s="1">
        <v>0</v>
      </c>
      <c r="Q83" s="1">
        <f t="shared" si="9"/>
        <v>30</v>
      </c>
      <c r="R83" s="11">
        <v>0</v>
      </c>
      <c r="S83" s="11">
        <f t="shared" si="10"/>
        <v>13347</v>
      </c>
      <c r="T83" s="1">
        <v>801</v>
      </c>
      <c r="U83" s="1">
        <v>101</v>
      </c>
      <c r="V83" s="1">
        <v>0</v>
      </c>
      <c r="W83" s="11">
        <f t="shared" si="11"/>
        <v>12445</v>
      </c>
      <c r="X83" s="12"/>
      <c r="Y83" s="11"/>
    </row>
    <row r="84" spans="1:25">
      <c r="A84" s="9">
        <f t="shared" si="12"/>
        <v>78</v>
      </c>
      <c r="B84" s="1" t="s">
        <v>246</v>
      </c>
      <c r="C84" s="1" t="s">
        <v>247</v>
      </c>
      <c r="D84" s="10" t="s">
        <v>248</v>
      </c>
      <c r="E84" s="11">
        <v>6674</v>
      </c>
      <c r="F84" s="11">
        <v>2669</v>
      </c>
      <c r="G84" s="11">
        <v>0</v>
      </c>
      <c r="H84" s="11">
        <v>4004</v>
      </c>
      <c r="I84" s="11">
        <f t="shared" si="7"/>
        <v>13347</v>
      </c>
      <c r="J84" s="1">
        <v>6674</v>
      </c>
      <c r="K84" s="1">
        <v>2669</v>
      </c>
      <c r="L84" s="1"/>
      <c r="M84" s="1">
        <v>4004</v>
      </c>
      <c r="N84" s="11">
        <f t="shared" si="8"/>
        <v>13347</v>
      </c>
      <c r="O84" s="1">
        <v>30</v>
      </c>
      <c r="P84" s="1">
        <v>0</v>
      </c>
      <c r="Q84" s="1">
        <f t="shared" si="9"/>
        <v>30</v>
      </c>
      <c r="R84" s="11">
        <v>0</v>
      </c>
      <c r="S84" s="11">
        <f t="shared" si="10"/>
        <v>13347</v>
      </c>
      <c r="T84" s="1">
        <v>801</v>
      </c>
      <c r="U84" s="1">
        <v>101</v>
      </c>
      <c r="V84" s="1">
        <v>0</v>
      </c>
      <c r="W84" s="11">
        <f t="shared" si="11"/>
        <v>12445</v>
      </c>
      <c r="X84" s="12"/>
      <c r="Y84" s="11"/>
    </row>
    <row r="85" spans="1:25">
      <c r="A85" s="9">
        <f t="shared" si="12"/>
        <v>79</v>
      </c>
      <c r="B85" s="1" t="s">
        <v>249</v>
      </c>
      <c r="C85" s="1" t="s">
        <v>250</v>
      </c>
      <c r="D85" s="10" t="s">
        <v>251</v>
      </c>
      <c r="E85" s="11">
        <v>6674</v>
      </c>
      <c r="F85" s="11">
        <v>2669</v>
      </c>
      <c r="G85" s="11">
        <v>0</v>
      </c>
      <c r="H85" s="11">
        <v>4004</v>
      </c>
      <c r="I85" s="11">
        <f t="shared" si="7"/>
        <v>13347</v>
      </c>
      <c r="J85" s="1">
        <v>6674</v>
      </c>
      <c r="K85" s="1">
        <v>2669</v>
      </c>
      <c r="L85" s="1"/>
      <c r="M85" s="1">
        <v>4004</v>
      </c>
      <c r="N85" s="11">
        <f t="shared" si="8"/>
        <v>13347</v>
      </c>
      <c r="O85" s="1">
        <v>30</v>
      </c>
      <c r="P85" s="1">
        <v>0</v>
      </c>
      <c r="Q85" s="1">
        <f t="shared" si="9"/>
        <v>30</v>
      </c>
      <c r="R85" s="11">
        <v>0</v>
      </c>
      <c r="S85" s="11">
        <f t="shared" si="10"/>
        <v>13347</v>
      </c>
      <c r="T85" s="1">
        <v>801</v>
      </c>
      <c r="U85" s="1">
        <v>101</v>
      </c>
      <c r="V85" s="1">
        <v>0</v>
      </c>
      <c r="W85" s="11">
        <f t="shared" si="11"/>
        <v>12445</v>
      </c>
      <c r="X85" s="12"/>
      <c r="Y85" s="11"/>
    </row>
    <row r="86" spans="1:25">
      <c r="A86" s="9">
        <f t="shared" si="12"/>
        <v>80</v>
      </c>
      <c r="B86" s="1" t="s">
        <v>252</v>
      </c>
      <c r="C86" s="1" t="s">
        <v>253</v>
      </c>
      <c r="D86" s="10" t="s">
        <v>251</v>
      </c>
      <c r="E86" s="11">
        <v>6674</v>
      </c>
      <c r="F86" s="11">
        <v>2669</v>
      </c>
      <c r="G86" s="11">
        <v>0</v>
      </c>
      <c r="H86" s="11">
        <v>4004</v>
      </c>
      <c r="I86" s="11">
        <f t="shared" si="7"/>
        <v>13347</v>
      </c>
      <c r="J86" s="1">
        <v>6674</v>
      </c>
      <c r="K86" s="1">
        <v>2669</v>
      </c>
      <c r="L86" s="1"/>
      <c r="M86" s="1">
        <v>4004</v>
      </c>
      <c r="N86" s="11">
        <f t="shared" si="8"/>
        <v>13347</v>
      </c>
      <c r="O86" s="1">
        <v>30</v>
      </c>
      <c r="P86" s="1">
        <v>0</v>
      </c>
      <c r="Q86" s="1">
        <f t="shared" si="9"/>
        <v>30</v>
      </c>
      <c r="R86" s="11">
        <v>0</v>
      </c>
      <c r="S86" s="11">
        <f t="shared" si="10"/>
        <v>13347</v>
      </c>
      <c r="T86" s="1">
        <v>801</v>
      </c>
      <c r="U86" s="1">
        <v>101</v>
      </c>
      <c r="V86" s="1">
        <v>0</v>
      </c>
      <c r="W86" s="11">
        <f t="shared" si="11"/>
        <v>12445</v>
      </c>
      <c r="X86" s="12"/>
      <c r="Y86" s="11"/>
    </row>
    <row r="87" spans="1:25">
      <c r="A87" s="9">
        <f t="shared" si="12"/>
        <v>81</v>
      </c>
      <c r="B87" s="1" t="s">
        <v>254</v>
      </c>
      <c r="C87" s="1" t="s">
        <v>255</v>
      </c>
      <c r="D87" s="10" t="s">
        <v>251</v>
      </c>
      <c r="E87" s="11">
        <v>6674</v>
      </c>
      <c r="F87" s="11">
        <v>2669</v>
      </c>
      <c r="G87" s="11">
        <v>0</v>
      </c>
      <c r="H87" s="11">
        <v>4004</v>
      </c>
      <c r="I87" s="11">
        <f t="shared" si="7"/>
        <v>13347</v>
      </c>
      <c r="J87" s="1">
        <v>6674</v>
      </c>
      <c r="K87" s="1">
        <v>2669</v>
      </c>
      <c r="L87" s="1"/>
      <c r="M87" s="1">
        <v>4004</v>
      </c>
      <c r="N87" s="11">
        <f t="shared" si="8"/>
        <v>13347</v>
      </c>
      <c r="O87" s="1">
        <v>30</v>
      </c>
      <c r="P87" s="1">
        <v>0</v>
      </c>
      <c r="Q87" s="1">
        <f t="shared" si="9"/>
        <v>30</v>
      </c>
      <c r="R87" s="11">
        <v>0</v>
      </c>
      <c r="S87" s="11">
        <f t="shared" si="10"/>
        <v>13347</v>
      </c>
      <c r="T87" s="1">
        <v>801</v>
      </c>
      <c r="U87" s="1">
        <v>101</v>
      </c>
      <c r="V87" s="1">
        <v>0</v>
      </c>
      <c r="W87" s="11">
        <f t="shared" si="11"/>
        <v>12445</v>
      </c>
      <c r="X87" s="12"/>
      <c r="Y87" s="11"/>
    </row>
    <row r="88" spans="1:25">
      <c r="A88" s="9">
        <f t="shared" si="12"/>
        <v>82</v>
      </c>
      <c r="B88" s="1" t="s">
        <v>256</v>
      </c>
      <c r="C88" s="1" t="s">
        <v>257</v>
      </c>
      <c r="D88" s="10" t="s">
        <v>251</v>
      </c>
      <c r="E88" s="11">
        <v>6674</v>
      </c>
      <c r="F88" s="11">
        <v>2669</v>
      </c>
      <c r="G88" s="11">
        <v>0</v>
      </c>
      <c r="H88" s="11">
        <v>4004</v>
      </c>
      <c r="I88" s="11">
        <f t="shared" si="7"/>
        <v>13347</v>
      </c>
      <c r="J88" s="1">
        <v>6674</v>
      </c>
      <c r="K88" s="1">
        <v>2669</v>
      </c>
      <c r="L88" s="1"/>
      <c r="M88" s="1">
        <v>4004</v>
      </c>
      <c r="N88" s="11">
        <f t="shared" si="8"/>
        <v>13347</v>
      </c>
      <c r="O88" s="1">
        <v>30</v>
      </c>
      <c r="P88" s="1">
        <v>0</v>
      </c>
      <c r="Q88" s="1">
        <f t="shared" si="9"/>
        <v>30</v>
      </c>
      <c r="R88" s="11">
        <v>0</v>
      </c>
      <c r="S88" s="11">
        <f t="shared" si="10"/>
        <v>13347</v>
      </c>
      <c r="T88" s="1">
        <v>801</v>
      </c>
      <c r="U88" s="1">
        <v>101</v>
      </c>
      <c r="V88" s="1">
        <v>0</v>
      </c>
      <c r="W88" s="11">
        <f t="shared" si="11"/>
        <v>12445</v>
      </c>
      <c r="X88" s="12"/>
      <c r="Y88" s="11"/>
    </row>
    <row r="89" spans="1:25">
      <c r="A89" s="9">
        <f t="shared" si="12"/>
        <v>83</v>
      </c>
      <c r="B89" s="1" t="s">
        <v>258</v>
      </c>
      <c r="C89" s="1" t="s">
        <v>259</v>
      </c>
      <c r="D89" s="10" t="s">
        <v>260</v>
      </c>
      <c r="E89" s="11">
        <v>6674</v>
      </c>
      <c r="F89" s="11">
        <v>2669</v>
      </c>
      <c r="G89" s="11">
        <v>0</v>
      </c>
      <c r="H89" s="11">
        <v>4004</v>
      </c>
      <c r="I89" s="11">
        <f t="shared" si="7"/>
        <v>13347</v>
      </c>
      <c r="J89" s="1">
        <v>6674</v>
      </c>
      <c r="K89" s="1">
        <v>2669</v>
      </c>
      <c r="L89" s="1"/>
      <c r="M89" s="1">
        <v>4004</v>
      </c>
      <c r="N89" s="11">
        <f t="shared" si="8"/>
        <v>13347</v>
      </c>
      <c r="O89" s="1">
        <v>30</v>
      </c>
      <c r="P89" s="1">
        <v>0</v>
      </c>
      <c r="Q89" s="1">
        <f t="shared" si="9"/>
        <v>30</v>
      </c>
      <c r="R89" s="11">
        <v>0</v>
      </c>
      <c r="S89" s="11">
        <f t="shared" si="10"/>
        <v>13347</v>
      </c>
      <c r="T89" s="1">
        <v>801</v>
      </c>
      <c r="U89" s="1">
        <v>101</v>
      </c>
      <c r="V89" s="1">
        <v>0</v>
      </c>
      <c r="W89" s="11">
        <f t="shared" si="11"/>
        <v>12445</v>
      </c>
      <c r="X89" s="12"/>
      <c r="Y89" s="11"/>
    </row>
    <row r="90" spans="1:25">
      <c r="A90" s="9">
        <f t="shared" si="12"/>
        <v>84</v>
      </c>
      <c r="B90" s="1" t="s">
        <v>261</v>
      </c>
      <c r="C90" s="1" t="s">
        <v>262</v>
      </c>
      <c r="D90" s="10" t="s">
        <v>260</v>
      </c>
      <c r="E90" s="11">
        <v>6674</v>
      </c>
      <c r="F90" s="11">
        <v>2669</v>
      </c>
      <c r="G90" s="11">
        <v>0</v>
      </c>
      <c r="H90" s="11">
        <v>4004</v>
      </c>
      <c r="I90" s="11">
        <f t="shared" si="7"/>
        <v>13347</v>
      </c>
      <c r="J90" s="1">
        <v>6674</v>
      </c>
      <c r="K90" s="1">
        <v>2669</v>
      </c>
      <c r="L90" s="1"/>
      <c r="M90" s="1">
        <v>4004</v>
      </c>
      <c r="N90" s="11">
        <f t="shared" si="8"/>
        <v>13347</v>
      </c>
      <c r="O90" s="1">
        <v>30</v>
      </c>
      <c r="P90" s="1">
        <v>0</v>
      </c>
      <c r="Q90" s="1">
        <f t="shared" si="9"/>
        <v>30</v>
      </c>
      <c r="R90" s="11">
        <v>0</v>
      </c>
      <c r="S90" s="11">
        <f t="shared" si="10"/>
        <v>13347</v>
      </c>
      <c r="T90" s="1">
        <v>801</v>
      </c>
      <c r="U90" s="1">
        <v>101</v>
      </c>
      <c r="V90" s="1">
        <v>0</v>
      </c>
      <c r="W90" s="11">
        <f t="shared" si="11"/>
        <v>12445</v>
      </c>
      <c r="X90" s="12"/>
      <c r="Y90" s="11"/>
    </row>
    <row r="91" spans="1:25">
      <c r="A91" s="9">
        <f t="shared" si="12"/>
        <v>85</v>
      </c>
      <c r="B91" s="1" t="s">
        <v>263</v>
      </c>
      <c r="C91" s="1" t="s">
        <v>264</v>
      </c>
      <c r="D91" s="10" t="s">
        <v>265</v>
      </c>
      <c r="E91" s="11">
        <v>6674</v>
      </c>
      <c r="F91" s="11">
        <v>2669</v>
      </c>
      <c r="G91" s="11">
        <v>0</v>
      </c>
      <c r="H91" s="11">
        <v>4004</v>
      </c>
      <c r="I91" s="11">
        <f t="shared" si="7"/>
        <v>13347</v>
      </c>
      <c r="J91" s="1">
        <v>6674</v>
      </c>
      <c r="K91" s="1">
        <v>2669</v>
      </c>
      <c r="L91" s="1"/>
      <c r="M91" s="1">
        <v>4004</v>
      </c>
      <c r="N91" s="11">
        <f t="shared" si="8"/>
        <v>13347</v>
      </c>
      <c r="O91" s="1">
        <v>30</v>
      </c>
      <c r="P91" s="1">
        <v>0</v>
      </c>
      <c r="Q91" s="1">
        <f t="shared" si="9"/>
        <v>30</v>
      </c>
      <c r="R91" s="11">
        <v>0</v>
      </c>
      <c r="S91" s="11">
        <f t="shared" si="10"/>
        <v>13347</v>
      </c>
      <c r="T91" s="1">
        <v>801</v>
      </c>
      <c r="U91" s="1">
        <v>101</v>
      </c>
      <c r="V91" s="1">
        <v>0</v>
      </c>
      <c r="W91" s="11">
        <f t="shared" si="11"/>
        <v>12445</v>
      </c>
      <c r="X91" s="12"/>
      <c r="Y91" s="11"/>
    </row>
    <row r="92" spans="1:25">
      <c r="A92" s="9">
        <f t="shared" si="12"/>
        <v>86</v>
      </c>
      <c r="B92" s="1" t="s">
        <v>266</v>
      </c>
      <c r="C92" s="1" t="s">
        <v>267</v>
      </c>
      <c r="D92" s="10" t="s">
        <v>265</v>
      </c>
      <c r="E92" s="11">
        <v>6674</v>
      </c>
      <c r="F92" s="11">
        <v>2669</v>
      </c>
      <c r="G92" s="11">
        <v>0</v>
      </c>
      <c r="H92" s="11">
        <v>4004</v>
      </c>
      <c r="I92" s="11">
        <f t="shared" si="7"/>
        <v>13347</v>
      </c>
      <c r="J92" s="1">
        <v>6674</v>
      </c>
      <c r="K92" s="1">
        <v>2669</v>
      </c>
      <c r="L92" s="1"/>
      <c r="M92" s="1">
        <v>4004</v>
      </c>
      <c r="N92" s="11">
        <f t="shared" si="8"/>
        <v>13347</v>
      </c>
      <c r="O92" s="1">
        <v>30</v>
      </c>
      <c r="P92" s="1">
        <v>0</v>
      </c>
      <c r="Q92" s="1">
        <f t="shared" si="9"/>
        <v>30</v>
      </c>
      <c r="R92" s="11">
        <v>0</v>
      </c>
      <c r="S92" s="11">
        <f t="shared" si="10"/>
        <v>13347</v>
      </c>
      <c r="T92" s="1">
        <v>801</v>
      </c>
      <c r="U92" s="1">
        <v>101</v>
      </c>
      <c r="V92" s="1">
        <v>0</v>
      </c>
      <c r="W92" s="11">
        <f t="shared" si="11"/>
        <v>12445</v>
      </c>
      <c r="X92" s="12"/>
      <c r="Y92" s="11"/>
    </row>
    <row r="93" spans="1:25">
      <c r="A93" s="9">
        <f t="shared" si="12"/>
        <v>87</v>
      </c>
      <c r="B93" s="1" t="s">
        <v>268</v>
      </c>
      <c r="C93" s="1" t="s">
        <v>269</v>
      </c>
      <c r="D93" s="10" t="s">
        <v>270</v>
      </c>
      <c r="E93" s="11">
        <v>6674</v>
      </c>
      <c r="F93" s="11">
        <v>2669</v>
      </c>
      <c r="G93" s="11">
        <v>0</v>
      </c>
      <c r="H93" s="11">
        <v>4004</v>
      </c>
      <c r="I93" s="11">
        <f t="shared" si="7"/>
        <v>13347</v>
      </c>
      <c r="J93" s="1">
        <v>6674</v>
      </c>
      <c r="K93" s="1">
        <v>2669</v>
      </c>
      <c r="L93" s="1"/>
      <c r="M93" s="1">
        <v>4004</v>
      </c>
      <c r="N93" s="11">
        <f t="shared" si="8"/>
        <v>13347</v>
      </c>
      <c r="O93" s="1">
        <v>30</v>
      </c>
      <c r="P93" s="1">
        <v>0</v>
      </c>
      <c r="Q93" s="1">
        <f t="shared" si="9"/>
        <v>30</v>
      </c>
      <c r="R93" s="11">
        <v>0</v>
      </c>
      <c r="S93" s="11">
        <f t="shared" si="10"/>
        <v>13347</v>
      </c>
      <c r="T93" s="1">
        <v>801</v>
      </c>
      <c r="U93" s="1">
        <v>101</v>
      </c>
      <c r="V93" s="1">
        <v>0</v>
      </c>
      <c r="W93" s="11">
        <f t="shared" si="11"/>
        <v>12445</v>
      </c>
      <c r="X93" s="12"/>
      <c r="Y93" s="11"/>
    </row>
    <row r="94" spans="1:25">
      <c r="A94" s="9">
        <f t="shared" si="12"/>
        <v>88</v>
      </c>
      <c r="B94" s="1" t="s">
        <v>271</v>
      </c>
      <c r="C94" s="1" t="s">
        <v>272</v>
      </c>
      <c r="D94" s="10" t="s">
        <v>273</v>
      </c>
      <c r="E94" s="11">
        <v>6674</v>
      </c>
      <c r="F94" s="11">
        <v>2669</v>
      </c>
      <c r="G94" s="11">
        <v>0</v>
      </c>
      <c r="H94" s="11">
        <v>4004</v>
      </c>
      <c r="I94" s="11">
        <f t="shared" si="7"/>
        <v>13347</v>
      </c>
      <c r="J94" s="1">
        <v>6674</v>
      </c>
      <c r="K94" s="1">
        <v>2669</v>
      </c>
      <c r="L94" s="1"/>
      <c r="M94" s="1">
        <v>4004</v>
      </c>
      <c r="N94" s="11">
        <f t="shared" si="8"/>
        <v>13347</v>
      </c>
      <c r="O94" s="1">
        <v>30</v>
      </c>
      <c r="P94" s="1">
        <v>0</v>
      </c>
      <c r="Q94" s="1">
        <f t="shared" si="9"/>
        <v>30</v>
      </c>
      <c r="R94" s="11">
        <v>0</v>
      </c>
      <c r="S94" s="11">
        <f t="shared" si="10"/>
        <v>13347</v>
      </c>
      <c r="T94" s="1">
        <v>801</v>
      </c>
      <c r="U94" s="1">
        <v>101</v>
      </c>
      <c r="V94" s="1">
        <v>0</v>
      </c>
      <c r="W94" s="11">
        <f t="shared" si="11"/>
        <v>12445</v>
      </c>
      <c r="X94" s="12"/>
      <c r="Y94" s="11"/>
    </row>
    <row r="95" spans="1:25">
      <c r="A95" s="9">
        <f t="shared" si="12"/>
        <v>89</v>
      </c>
      <c r="B95" s="1" t="s">
        <v>274</v>
      </c>
      <c r="C95" s="1" t="s">
        <v>275</v>
      </c>
      <c r="D95" s="10" t="s">
        <v>276</v>
      </c>
      <c r="E95" s="11">
        <v>6674</v>
      </c>
      <c r="F95" s="11">
        <v>2669</v>
      </c>
      <c r="G95" s="11">
        <v>0</v>
      </c>
      <c r="H95" s="11">
        <v>4004</v>
      </c>
      <c r="I95" s="11">
        <f t="shared" si="7"/>
        <v>13347</v>
      </c>
      <c r="J95" s="1">
        <v>6674</v>
      </c>
      <c r="K95" s="1">
        <v>2669</v>
      </c>
      <c r="L95" s="1"/>
      <c r="M95" s="1">
        <v>4004</v>
      </c>
      <c r="N95" s="11">
        <f t="shared" si="8"/>
        <v>13347</v>
      </c>
      <c r="O95" s="1">
        <v>30</v>
      </c>
      <c r="P95" s="1">
        <v>0</v>
      </c>
      <c r="Q95" s="1">
        <f t="shared" si="9"/>
        <v>30</v>
      </c>
      <c r="R95" s="11">
        <v>0</v>
      </c>
      <c r="S95" s="11">
        <f t="shared" si="10"/>
        <v>13347</v>
      </c>
      <c r="T95" s="1">
        <v>801</v>
      </c>
      <c r="U95" s="1">
        <v>101</v>
      </c>
      <c r="V95" s="1">
        <v>0</v>
      </c>
      <c r="W95" s="11">
        <f t="shared" si="11"/>
        <v>12445</v>
      </c>
      <c r="X95" s="12"/>
      <c r="Y95" s="11"/>
    </row>
    <row r="96" spans="1:25">
      <c r="A96" s="9">
        <f t="shared" si="12"/>
        <v>90</v>
      </c>
      <c r="B96" s="1" t="s">
        <v>277</v>
      </c>
      <c r="C96" s="1" t="s">
        <v>278</v>
      </c>
      <c r="D96" s="10" t="s">
        <v>279</v>
      </c>
      <c r="E96" s="11">
        <v>6674</v>
      </c>
      <c r="F96" s="11">
        <v>2669</v>
      </c>
      <c r="G96" s="11">
        <v>0</v>
      </c>
      <c r="H96" s="11">
        <v>4004</v>
      </c>
      <c r="I96" s="11">
        <f t="shared" si="7"/>
        <v>13347</v>
      </c>
      <c r="J96" s="1">
        <v>6674</v>
      </c>
      <c r="K96" s="1">
        <v>2669</v>
      </c>
      <c r="L96" s="1"/>
      <c r="M96" s="1">
        <v>4004</v>
      </c>
      <c r="N96" s="11">
        <f t="shared" si="8"/>
        <v>13347</v>
      </c>
      <c r="O96" s="1">
        <v>30</v>
      </c>
      <c r="P96" s="1">
        <v>0</v>
      </c>
      <c r="Q96" s="1">
        <f t="shared" si="9"/>
        <v>30</v>
      </c>
      <c r="R96" s="11">
        <v>0</v>
      </c>
      <c r="S96" s="11">
        <f t="shared" si="10"/>
        <v>13347</v>
      </c>
      <c r="T96" s="1">
        <v>801</v>
      </c>
      <c r="U96" s="1">
        <v>101</v>
      </c>
      <c r="V96" s="1">
        <v>0</v>
      </c>
      <c r="W96" s="11">
        <f t="shared" si="11"/>
        <v>12445</v>
      </c>
      <c r="X96" s="12"/>
      <c r="Y96" s="11"/>
    </row>
    <row r="97" spans="1:25">
      <c r="A97" s="9">
        <f t="shared" si="12"/>
        <v>91</v>
      </c>
      <c r="B97" s="1" t="s">
        <v>280</v>
      </c>
      <c r="C97" s="1" t="s">
        <v>281</v>
      </c>
      <c r="D97" s="10" t="s">
        <v>282</v>
      </c>
      <c r="E97" s="11">
        <v>6674</v>
      </c>
      <c r="F97" s="11">
        <v>2669</v>
      </c>
      <c r="G97" s="11">
        <v>0</v>
      </c>
      <c r="H97" s="11">
        <v>4004</v>
      </c>
      <c r="I97" s="11">
        <f t="shared" si="7"/>
        <v>13347</v>
      </c>
      <c r="J97" s="1">
        <v>6674</v>
      </c>
      <c r="K97" s="1">
        <v>2669</v>
      </c>
      <c r="L97" s="1"/>
      <c r="M97" s="1">
        <v>4004</v>
      </c>
      <c r="N97" s="11">
        <f t="shared" si="8"/>
        <v>13347</v>
      </c>
      <c r="O97" s="1">
        <v>30</v>
      </c>
      <c r="P97" s="1">
        <v>0</v>
      </c>
      <c r="Q97" s="1">
        <f t="shared" si="9"/>
        <v>30</v>
      </c>
      <c r="R97" s="11">
        <v>0</v>
      </c>
      <c r="S97" s="11">
        <f t="shared" si="10"/>
        <v>13347</v>
      </c>
      <c r="T97" s="1">
        <v>801</v>
      </c>
      <c r="U97" s="1">
        <v>101</v>
      </c>
      <c r="V97" s="1">
        <v>0</v>
      </c>
      <c r="W97" s="11">
        <f t="shared" si="11"/>
        <v>12445</v>
      </c>
      <c r="X97" s="12"/>
      <c r="Y97" s="11"/>
    </row>
    <row r="98" spans="1:25">
      <c r="A98" s="9">
        <f t="shared" si="12"/>
        <v>92</v>
      </c>
      <c r="B98" s="1" t="s">
        <v>283</v>
      </c>
      <c r="C98" s="1" t="s">
        <v>284</v>
      </c>
      <c r="D98" s="10" t="s">
        <v>282</v>
      </c>
      <c r="E98" s="11">
        <v>6674</v>
      </c>
      <c r="F98" s="11">
        <v>2669</v>
      </c>
      <c r="G98" s="11">
        <v>0</v>
      </c>
      <c r="H98" s="11">
        <v>4004</v>
      </c>
      <c r="I98" s="11">
        <f t="shared" si="7"/>
        <v>13347</v>
      </c>
      <c r="J98" s="1">
        <v>6674</v>
      </c>
      <c r="K98" s="1">
        <v>2669</v>
      </c>
      <c r="L98" s="1"/>
      <c r="M98" s="1">
        <v>4004</v>
      </c>
      <c r="N98" s="11">
        <f t="shared" si="8"/>
        <v>13347</v>
      </c>
      <c r="O98" s="1">
        <v>30</v>
      </c>
      <c r="P98" s="1">
        <v>0</v>
      </c>
      <c r="Q98" s="1">
        <f t="shared" si="9"/>
        <v>30</v>
      </c>
      <c r="R98" s="11">
        <v>0</v>
      </c>
      <c r="S98" s="11">
        <f t="shared" si="10"/>
        <v>13347</v>
      </c>
      <c r="T98" s="1">
        <v>801</v>
      </c>
      <c r="U98" s="1">
        <v>101</v>
      </c>
      <c r="V98" s="1">
        <v>0</v>
      </c>
      <c r="W98" s="11">
        <f t="shared" si="11"/>
        <v>12445</v>
      </c>
      <c r="X98" s="12"/>
      <c r="Y98" s="11"/>
    </row>
    <row r="99" spans="1:25">
      <c r="A99" s="9">
        <f t="shared" si="12"/>
        <v>93</v>
      </c>
      <c r="B99" s="1" t="s">
        <v>285</v>
      </c>
      <c r="C99" s="1" t="s">
        <v>286</v>
      </c>
      <c r="D99" s="10" t="s">
        <v>287</v>
      </c>
      <c r="E99" s="11">
        <v>6674</v>
      </c>
      <c r="F99" s="11">
        <v>2669</v>
      </c>
      <c r="G99" s="11">
        <v>0</v>
      </c>
      <c r="H99" s="11">
        <v>4004</v>
      </c>
      <c r="I99" s="11">
        <f t="shared" si="7"/>
        <v>13347</v>
      </c>
      <c r="J99" s="1">
        <v>6674</v>
      </c>
      <c r="K99" s="1">
        <v>2669</v>
      </c>
      <c r="L99" s="1"/>
      <c r="M99" s="1">
        <v>4004</v>
      </c>
      <c r="N99" s="11">
        <f t="shared" si="8"/>
        <v>13347</v>
      </c>
      <c r="O99" s="1">
        <v>30</v>
      </c>
      <c r="P99" s="1">
        <v>0</v>
      </c>
      <c r="Q99" s="1">
        <f t="shared" si="9"/>
        <v>30</v>
      </c>
      <c r="R99" s="11">
        <v>0</v>
      </c>
      <c r="S99" s="11">
        <f t="shared" si="10"/>
        <v>13347</v>
      </c>
      <c r="T99" s="1">
        <v>801</v>
      </c>
      <c r="U99" s="1">
        <v>101</v>
      </c>
      <c r="V99" s="1">
        <v>0</v>
      </c>
      <c r="W99" s="11">
        <f t="shared" si="11"/>
        <v>12445</v>
      </c>
      <c r="X99" s="12"/>
      <c r="Y99" s="11"/>
    </row>
    <row r="100" spans="1:25">
      <c r="A100" s="9">
        <f t="shared" si="12"/>
        <v>94</v>
      </c>
      <c r="B100" s="1" t="s">
        <v>288</v>
      </c>
      <c r="C100" s="1" t="s">
        <v>289</v>
      </c>
      <c r="D100" s="10" t="s">
        <v>290</v>
      </c>
      <c r="E100" s="11">
        <v>6674</v>
      </c>
      <c r="F100" s="11">
        <v>2669</v>
      </c>
      <c r="G100" s="11">
        <v>0</v>
      </c>
      <c r="H100" s="11">
        <v>4004</v>
      </c>
      <c r="I100" s="11">
        <f t="shared" si="7"/>
        <v>13347</v>
      </c>
      <c r="J100" s="1">
        <v>6674</v>
      </c>
      <c r="K100" s="1">
        <v>2669</v>
      </c>
      <c r="L100" s="1"/>
      <c r="M100" s="1">
        <v>4004</v>
      </c>
      <c r="N100" s="11">
        <f t="shared" si="8"/>
        <v>13347</v>
      </c>
      <c r="O100" s="1">
        <v>30</v>
      </c>
      <c r="P100" s="1">
        <v>0</v>
      </c>
      <c r="Q100" s="1">
        <f t="shared" si="9"/>
        <v>30</v>
      </c>
      <c r="R100" s="11">
        <v>0</v>
      </c>
      <c r="S100" s="11">
        <f t="shared" si="10"/>
        <v>13347</v>
      </c>
      <c r="T100" s="1">
        <v>801</v>
      </c>
      <c r="U100" s="1">
        <v>101</v>
      </c>
      <c r="V100" s="1">
        <v>0</v>
      </c>
      <c r="W100" s="11">
        <f t="shared" si="11"/>
        <v>12445</v>
      </c>
      <c r="X100" s="12"/>
      <c r="Y100" s="11"/>
    </row>
    <row r="101" spans="1:25">
      <c r="A101" s="9">
        <f t="shared" si="12"/>
        <v>95</v>
      </c>
      <c r="B101" s="1" t="s">
        <v>291</v>
      </c>
      <c r="C101" s="1" t="s">
        <v>292</v>
      </c>
      <c r="D101" s="10" t="s">
        <v>290</v>
      </c>
      <c r="E101" s="11">
        <v>6674</v>
      </c>
      <c r="F101" s="11">
        <v>2669</v>
      </c>
      <c r="G101" s="11">
        <v>0</v>
      </c>
      <c r="H101" s="11">
        <v>4004</v>
      </c>
      <c r="I101" s="11">
        <f t="shared" si="7"/>
        <v>13347</v>
      </c>
      <c r="J101" s="1">
        <v>6674</v>
      </c>
      <c r="K101" s="1">
        <v>2669</v>
      </c>
      <c r="L101" s="1"/>
      <c r="M101" s="1">
        <v>4004</v>
      </c>
      <c r="N101" s="11">
        <f t="shared" si="8"/>
        <v>13347</v>
      </c>
      <c r="O101" s="1">
        <v>30</v>
      </c>
      <c r="P101" s="1">
        <v>0</v>
      </c>
      <c r="Q101" s="1">
        <f t="shared" si="9"/>
        <v>30</v>
      </c>
      <c r="R101" s="11">
        <v>0</v>
      </c>
      <c r="S101" s="11">
        <f t="shared" si="10"/>
        <v>13347</v>
      </c>
      <c r="T101" s="1">
        <v>801</v>
      </c>
      <c r="U101" s="1">
        <v>101</v>
      </c>
      <c r="V101" s="1">
        <v>0</v>
      </c>
      <c r="W101" s="11">
        <f t="shared" si="11"/>
        <v>12445</v>
      </c>
      <c r="X101" s="12"/>
      <c r="Y101" s="11"/>
    </row>
    <row r="102" spans="1:25">
      <c r="A102" s="9">
        <f t="shared" si="12"/>
        <v>96</v>
      </c>
      <c r="B102" s="1" t="s">
        <v>293</v>
      </c>
      <c r="C102" s="1" t="s">
        <v>294</v>
      </c>
      <c r="D102" s="10" t="s">
        <v>295</v>
      </c>
      <c r="E102" s="11">
        <v>6674</v>
      </c>
      <c r="F102" s="11">
        <v>2669</v>
      </c>
      <c r="G102" s="11">
        <v>0</v>
      </c>
      <c r="H102" s="11">
        <v>4004</v>
      </c>
      <c r="I102" s="11">
        <f t="shared" si="7"/>
        <v>13347</v>
      </c>
      <c r="J102" s="1">
        <v>6674</v>
      </c>
      <c r="K102" s="1">
        <v>2669</v>
      </c>
      <c r="L102" s="1"/>
      <c r="M102" s="1">
        <v>4004</v>
      </c>
      <c r="N102" s="11">
        <f t="shared" si="8"/>
        <v>13347</v>
      </c>
      <c r="O102" s="1">
        <v>30</v>
      </c>
      <c r="P102" s="1">
        <v>0</v>
      </c>
      <c r="Q102" s="1">
        <f t="shared" si="9"/>
        <v>30</v>
      </c>
      <c r="R102" s="11">
        <v>0</v>
      </c>
      <c r="S102" s="11">
        <f t="shared" si="10"/>
        <v>13347</v>
      </c>
      <c r="T102" s="1">
        <v>801</v>
      </c>
      <c r="U102" s="1">
        <v>101</v>
      </c>
      <c r="V102" s="1">
        <v>0</v>
      </c>
      <c r="W102" s="11">
        <f t="shared" si="11"/>
        <v>12445</v>
      </c>
      <c r="X102" s="12"/>
      <c r="Y102" s="11"/>
    </row>
    <row r="103" spans="1:25">
      <c r="A103" s="9">
        <f t="shared" si="12"/>
        <v>97</v>
      </c>
      <c r="B103" s="1" t="s">
        <v>296</v>
      </c>
      <c r="C103" s="1" t="s">
        <v>297</v>
      </c>
      <c r="D103" s="10" t="s">
        <v>298</v>
      </c>
      <c r="E103" s="11">
        <v>6674</v>
      </c>
      <c r="F103" s="11">
        <v>2669</v>
      </c>
      <c r="G103" s="11">
        <v>0</v>
      </c>
      <c r="H103" s="11">
        <v>4004</v>
      </c>
      <c r="I103" s="11">
        <f t="shared" si="7"/>
        <v>13347</v>
      </c>
      <c r="J103" s="1">
        <v>6674</v>
      </c>
      <c r="K103" s="1">
        <v>2669</v>
      </c>
      <c r="L103" s="1"/>
      <c r="M103" s="1">
        <v>4004</v>
      </c>
      <c r="N103" s="11">
        <f t="shared" si="8"/>
        <v>13347</v>
      </c>
      <c r="O103" s="1">
        <v>30</v>
      </c>
      <c r="P103" s="1">
        <v>0</v>
      </c>
      <c r="Q103" s="1">
        <f t="shared" si="9"/>
        <v>30</v>
      </c>
      <c r="R103" s="11">
        <v>0</v>
      </c>
      <c r="S103" s="11">
        <f t="shared" si="10"/>
        <v>13347</v>
      </c>
      <c r="T103" s="1">
        <v>801</v>
      </c>
      <c r="U103" s="1">
        <v>101</v>
      </c>
      <c r="V103" s="1">
        <v>0</v>
      </c>
      <c r="W103" s="11">
        <f t="shared" si="11"/>
        <v>12445</v>
      </c>
      <c r="X103" s="12"/>
      <c r="Y103" s="11"/>
    </row>
    <row r="104" spans="1:25">
      <c r="A104" s="9">
        <f t="shared" ref="A104:A126" si="13">+A103+1</f>
        <v>98</v>
      </c>
      <c r="B104" s="1" t="s">
        <v>299</v>
      </c>
      <c r="C104" s="1" t="s">
        <v>300</v>
      </c>
      <c r="D104" s="10" t="s">
        <v>301</v>
      </c>
      <c r="E104" s="11">
        <v>6674</v>
      </c>
      <c r="F104" s="11">
        <v>2669</v>
      </c>
      <c r="G104" s="11">
        <v>0</v>
      </c>
      <c r="H104" s="11">
        <v>4004</v>
      </c>
      <c r="I104" s="11">
        <f t="shared" si="7"/>
        <v>13347</v>
      </c>
      <c r="J104" s="1">
        <v>6674</v>
      </c>
      <c r="K104" s="1">
        <v>2669</v>
      </c>
      <c r="L104" s="1"/>
      <c r="M104" s="1">
        <v>4004</v>
      </c>
      <c r="N104" s="11">
        <f t="shared" si="8"/>
        <v>13347</v>
      </c>
      <c r="O104" s="1">
        <v>30</v>
      </c>
      <c r="P104" s="1">
        <v>0</v>
      </c>
      <c r="Q104" s="1">
        <f t="shared" si="9"/>
        <v>30</v>
      </c>
      <c r="R104" s="11">
        <v>0</v>
      </c>
      <c r="S104" s="11">
        <f t="shared" si="10"/>
        <v>13347</v>
      </c>
      <c r="T104" s="1">
        <v>801</v>
      </c>
      <c r="U104" s="1">
        <v>101</v>
      </c>
      <c r="V104" s="1">
        <v>0</v>
      </c>
      <c r="W104" s="11">
        <f t="shared" si="11"/>
        <v>12445</v>
      </c>
      <c r="X104" s="12"/>
      <c r="Y104" s="11"/>
    </row>
    <row r="105" spans="1:25">
      <c r="A105" s="9">
        <f t="shared" si="13"/>
        <v>99</v>
      </c>
      <c r="B105" s="1" t="s">
        <v>302</v>
      </c>
      <c r="C105" s="1" t="s">
        <v>303</v>
      </c>
      <c r="D105" s="10" t="s">
        <v>304</v>
      </c>
      <c r="E105" s="11">
        <v>6674</v>
      </c>
      <c r="F105" s="11">
        <v>2669</v>
      </c>
      <c r="G105" s="11">
        <v>0</v>
      </c>
      <c r="H105" s="11">
        <v>4004</v>
      </c>
      <c r="I105" s="11">
        <f t="shared" si="7"/>
        <v>13347</v>
      </c>
      <c r="J105" s="1">
        <v>6674</v>
      </c>
      <c r="K105" s="1">
        <v>2669</v>
      </c>
      <c r="L105" s="1"/>
      <c r="M105" s="1">
        <v>4004</v>
      </c>
      <c r="N105" s="11">
        <f t="shared" si="8"/>
        <v>13347</v>
      </c>
      <c r="O105" s="1">
        <v>30</v>
      </c>
      <c r="P105" s="1">
        <v>0</v>
      </c>
      <c r="Q105" s="1">
        <f t="shared" si="9"/>
        <v>30</v>
      </c>
      <c r="R105" s="11">
        <v>0</v>
      </c>
      <c r="S105" s="11">
        <f t="shared" si="10"/>
        <v>13347</v>
      </c>
      <c r="T105" s="1">
        <v>801</v>
      </c>
      <c r="U105" s="1">
        <v>101</v>
      </c>
      <c r="V105" s="1">
        <v>0</v>
      </c>
      <c r="W105" s="11">
        <f t="shared" si="11"/>
        <v>12445</v>
      </c>
      <c r="X105" s="12"/>
      <c r="Y105" s="11"/>
    </row>
    <row r="106" spans="1:25">
      <c r="A106" s="9">
        <f t="shared" si="13"/>
        <v>100</v>
      </c>
      <c r="B106" s="1" t="s">
        <v>305</v>
      </c>
      <c r="C106" s="1" t="s">
        <v>306</v>
      </c>
      <c r="D106" s="10" t="s">
        <v>304</v>
      </c>
      <c r="E106" s="11">
        <v>6674</v>
      </c>
      <c r="F106" s="11">
        <v>2669</v>
      </c>
      <c r="G106" s="11">
        <v>0</v>
      </c>
      <c r="H106" s="11">
        <v>4004</v>
      </c>
      <c r="I106" s="11">
        <f t="shared" si="7"/>
        <v>13347</v>
      </c>
      <c r="J106" s="1">
        <v>6674</v>
      </c>
      <c r="K106" s="1">
        <v>2669</v>
      </c>
      <c r="L106" s="1"/>
      <c r="M106" s="1">
        <v>4004</v>
      </c>
      <c r="N106" s="11">
        <f t="shared" si="8"/>
        <v>13347</v>
      </c>
      <c r="O106" s="1">
        <v>30</v>
      </c>
      <c r="P106" s="1">
        <v>0</v>
      </c>
      <c r="Q106" s="1">
        <f t="shared" si="9"/>
        <v>30</v>
      </c>
      <c r="R106" s="11">
        <v>0</v>
      </c>
      <c r="S106" s="11">
        <f t="shared" si="10"/>
        <v>13347</v>
      </c>
      <c r="T106" s="1">
        <v>801</v>
      </c>
      <c r="U106" s="1">
        <v>101</v>
      </c>
      <c r="V106" s="1">
        <v>0</v>
      </c>
      <c r="W106" s="11">
        <f t="shared" si="11"/>
        <v>12445</v>
      </c>
      <c r="X106" s="12"/>
      <c r="Y106" s="11"/>
    </row>
    <row r="107" spans="1:25">
      <c r="A107" s="9">
        <f t="shared" si="13"/>
        <v>101</v>
      </c>
      <c r="B107" s="1" t="s">
        <v>307</v>
      </c>
      <c r="C107" s="1" t="s">
        <v>308</v>
      </c>
      <c r="D107" s="10" t="s">
        <v>309</v>
      </c>
      <c r="E107" s="11">
        <v>6674</v>
      </c>
      <c r="F107" s="11">
        <v>2669</v>
      </c>
      <c r="G107" s="11">
        <v>0</v>
      </c>
      <c r="H107" s="11">
        <v>4004</v>
      </c>
      <c r="I107" s="11">
        <f t="shared" si="7"/>
        <v>13347</v>
      </c>
      <c r="J107" s="1">
        <v>6674</v>
      </c>
      <c r="K107" s="1">
        <v>2669</v>
      </c>
      <c r="L107" s="1"/>
      <c r="M107" s="1">
        <v>4004</v>
      </c>
      <c r="N107" s="11">
        <f t="shared" si="8"/>
        <v>13347</v>
      </c>
      <c r="O107" s="1">
        <v>30</v>
      </c>
      <c r="P107" s="1">
        <v>0</v>
      </c>
      <c r="Q107" s="1">
        <f t="shared" si="9"/>
        <v>30</v>
      </c>
      <c r="R107" s="11">
        <v>0</v>
      </c>
      <c r="S107" s="11">
        <f t="shared" si="10"/>
        <v>13347</v>
      </c>
      <c r="T107" s="1">
        <v>801</v>
      </c>
      <c r="U107" s="1">
        <v>101</v>
      </c>
      <c r="V107" s="1">
        <v>0</v>
      </c>
      <c r="W107" s="11">
        <f t="shared" si="11"/>
        <v>12445</v>
      </c>
      <c r="X107" s="12"/>
      <c r="Y107" s="11"/>
    </row>
    <row r="108" spans="1:25">
      <c r="A108" s="9">
        <f t="shared" si="13"/>
        <v>102</v>
      </c>
      <c r="B108" s="1" t="s">
        <v>310</v>
      </c>
      <c r="C108" s="1" t="s">
        <v>311</v>
      </c>
      <c r="D108" s="10" t="s">
        <v>312</v>
      </c>
      <c r="E108" s="11">
        <v>6674</v>
      </c>
      <c r="F108" s="11">
        <v>2669</v>
      </c>
      <c r="G108" s="11">
        <v>0</v>
      </c>
      <c r="H108" s="11">
        <v>4004</v>
      </c>
      <c r="I108" s="11">
        <f t="shared" si="7"/>
        <v>13347</v>
      </c>
      <c r="J108" s="1">
        <v>6674</v>
      </c>
      <c r="K108" s="1">
        <v>2669</v>
      </c>
      <c r="L108" s="1"/>
      <c r="M108" s="1">
        <v>4004</v>
      </c>
      <c r="N108" s="11">
        <f t="shared" si="8"/>
        <v>13347</v>
      </c>
      <c r="O108" s="1">
        <v>30</v>
      </c>
      <c r="P108" s="1">
        <v>0</v>
      </c>
      <c r="Q108" s="1">
        <f t="shared" si="9"/>
        <v>30</v>
      </c>
      <c r="R108" s="11">
        <v>0</v>
      </c>
      <c r="S108" s="11">
        <f t="shared" si="10"/>
        <v>13347</v>
      </c>
      <c r="T108" s="1">
        <v>801</v>
      </c>
      <c r="U108" s="1">
        <v>101</v>
      </c>
      <c r="V108" s="1">
        <v>0</v>
      </c>
      <c r="W108" s="11">
        <f t="shared" si="11"/>
        <v>12445</v>
      </c>
      <c r="X108" s="12"/>
      <c r="Y108" s="11"/>
    </row>
    <row r="109" spans="1:25">
      <c r="A109" s="9">
        <f t="shared" si="13"/>
        <v>103</v>
      </c>
      <c r="B109" s="1" t="s">
        <v>313</v>
      </c>
      <c r="C109" s="1" t="s">
        <v>314</v>
      </c>
      <c r="D109" s="10" t="s">
        <v>312</v>
      </c>
      <c r="E109" s="11">
        <v>6674</v>
      </c>
      <c r="F109" s="11">
        <v>2669</v>
      </c>
      <c r="G109" s="11">
        <v>0</v>
      </c>
      <c r="H109" s="11">
        <v>4004</v>
      </c>
      <c r="I109" s="11">
        <f t="shared" si="7"/>
        <v>13347</v>
      </c>
      <c r="J109" s="1">
        <v>6674</v>
      </c>
      <c r="K109" s="1">
        <v>2669</v>
      </c>
      <c r="L109" s="1"/>
      <c r="M109" s="1">
        <v>4004</v>
      </c>
      <c r="N109" s="11">
        <f t="shared" si="8"/>
        <v>13347</v>
      </c>
      <c r="O109" s="1">
        <v>30</v>
      </c>
      <c r="P109" s="1">
        <v>0</v>
      </c>
      <c r="Q109" s="1">
        <f t="shared" si="9"/>
        <v>30</v>
      </c>
      <c r="R109" s="11">
        <v>0</v>
      </c>
      <c r="S109" s="11">
        <f t="shared" si="10"/>
        <v>13347</v>
      </c>
      <c r="T109" s="1">
        <v>801</v>
      </c>
      <c r="U109" s="1">
        <v>101</v>
      </c>
      <c r="V109" s="1">
        <v>0</v>
      </c>
      <c r="W109" s="11">
        <f t="shared" si="11"/>
        <v>12445</v>
      </c>
      <c r="X109" s="12"/>
      <c r="Y109" s="11" t="s">
        <v>549</v>
      </c>
    </row>
    <row r="110" spans="1:25">
      <c r="A110" s="9">
        <f t="shared" si="13"/>
        <v>104</v>
      </c>
      <c r="B110" s="1" t="s">
        <v>315</v>
      </c>
      <c r="C110" s="1" t="s">
        <v>316</v>
      </c>
      <c r="D110" s="10" t="s">
        <v>317</v>
      </c>
      <c r="E110" s="11">
        <v>6674</v>
      </c>
      <c r="F110" s="11">
        <v>2669</v>
      </c>
      <c r="G110" s="11">
        <v>0</v>
      </c>
      <c r="H110" s="11">
        <v>4004</v>
      </c>
      <c r="I110" s="11">
        <f t="shared" si="7"/>
        <v>13347</v>
      </c>
      <c r="J110" s="1">
        <v>6674</v>
      </c>
      <c r="K110" s="1">
        <v>2669</v>
      </c>
      <c r="L110" s="1"/>
      <c r="M110" s="1">
        <v>4004</v>
      </c>
      <c r="N110" s="11">
        <f t="shared" si="8"/>
        <v>13347</v>
      </c>
      <c r="O110" s="1">
        <v>30</v>
      </c>
      <c r="P110" s="1">
        <v>0</v>
      </c>
      <c r="Q110" s="1">
        <f t="shared" si="9"/>
        <v>30</v>
      </c>
      <c r="R110" s="11">
        <v>0</v>
      </c>
      <c r="S110" s="11">
        <f t="shared" si="10"/>
        <v>13347</v>
      </c>
      <c r="T110" s="1">
        <v>801</v>
      </c>
      <c r="U110" s="1">
        <v>101</v>
      </c>
      <c r="V110" s="1">
        <v>0</v>
      </c>
      <c r="W110" s="11">
        <f t="shared" si="11"/>
        <v>12445</v>
      </c>
      <c r="X110" s="12"/>
      <c r="Y110" s="11"/>
    </row>
    <row r="111" spans="1:25">
      <c r="A111" s="9">
        <f t="shared" si="13"/>
        <v>105</v>
      </c>
      <c r="B111" s="1" t="s">
        <v>318</v>
      </c>
      <c r="C111" s="1" t="s">
        <v>319</v>
      </c>
      <c r="D111" s="10" t="s">
        <v>317</v>
      </c>
      <c r="E111" s="11">
        <v>6674</v>
      </c>
      <c r="F111" s="11">
        <v>2669</v>
      </c>
      <c r="G111" s="11">
        <v>0</v>
      </c>
      <c r="H111" s="11">
        <v>4004</v>
      </c>
      <c r="I111" s="11">
        <f t="shared" si="7"/>
        <v>13347</v>
      </c>
      <c r="J111" s="1">
        <v>6674</v>
      </c>
      <c r="K111" s="1">
        <v>2669</v>
      </c>
      <c r="L111" s="1"/>
      <c r="M111" s="1">
        <v>4004</v>
      </c>
      <c r="N111" s="11">
        <f t="shared" si="8"/>
        <v>13347</v>
      </c>
      <c r="O111" s="1">
        <v>30</v>
      </c>
      <c r="P111" s="1">
        <v>0</v>
      </c>
      <c r="Q111" s="1">
        <f t="shared" si="9"/>
        <v>30</v>
      </c>
      <c r="R111" s="11">
        <v>0</v>
      </c>
      <c r="S111" s="11">
        <f t="shared" si="10"/>
        <v>13347</v>
      </c>
      <c r="T111" s="1">
        <v>801</v>
      </c>
      <c r="U111" s="1">
        <v>101</v>
      </c>
      <c r="V111" s="1">
        <v>0</v>
      </c>
      <c r="W111" s="11">
        <f t="shared" si="11"/>
        <v>12445</v>
      </c>
      <c r="X111" s="12"/>
      <c r="Y111" s="11"/>
    </row>
    <row r="112" spans="1:25">
      <c r="A112" s="9">
        <f t="shared" si="13"/>
        <v>106</v>
      </c>
      <c r="B112" s="1" t="s">
        <v>320</v>
      </c>
      <c r="C112" s="1" t="s">
        <v>321</v>
      </c>
      <c r="D112" s="10" t="s">
        <v>322</v>
      </c>
      <c r="E112" s="11">
        <v>6674</v>
      </c>
      <c r="F112" s="11">
        <v>2669</v>
      </c>
      <c r="G112" s="11">
        <v>0</v>
      </c>
      <c r="H112" s="11">
        <v>4004</v>
      </c>
      <c r="I112" s="11">
        <f t="shared" si="7"/>
        <v>13347</v>
      </c>
      <c r="J112" s="1">
        <v>6674</v>
      </c>
      <c r="K112" s="1">
        <v>2669</v>
      </c>
      <c r="L112" s="1"/>
      <c r="M112" s="1">
        <v>4004</v>
      </c>
      <c r="N112" s="11">
        <f t="shared" si="8"/>
        <v>13347</v>
      </c>
      <c r="O112" s="1">
        <v>30</v>
      </c>
      <c r="P112" s="1">
        <v>0</v>
      </c>
      <c r="Q112" s="1">
        <f t="shared" si="9"/>
        <v>30</v>
      </c>
      <c r="R112" s="11">
        <v>0</v>
      </c>
      <c r="S112" s="11">
        <f t="shared" si="10"/>
        <v>13347</v>
      </c>
      <c r="T112" s="1">
        <v>801</v>
      </c>
      <c r="U112" s="1">
        <v>101</v>
      </c>
      <c r="V112" s="1">
        <v>0</v>
      </c>
      <c r="W112" s="11">
        <f t="shared" si="11"/>
        <v>12445</v>
      </c>
      <c r="X112" s="12"/>
      <c r="Y112" s="11"/>
    </row>
    <row r="113" spans="1:25">
      <c r="A113" s="9">
        <f t="shared" si="13"/>
        <v>107</v>
      </c>
      <c r="B113" s="1" t="s">
        <v>323</v>
      </c>
      <c r="C113" s="1" t="s">
        <v>324</v>
      </c>
      <c r="D113" s="10" t="s">
        <v>325</v>
      </c>
      <c r="E113" s="11">
        <v>6674</v>
      </c>
      <c r="F113" s="11">
        <v>2669</v>
      </c>
      <c r="G113" s="11">
        <v>0</v>
      </c>
      <c r="H113" s="11">
        <v>4004</v>
      </c>
      <c r="I113" s="11">
        <f t="shared" si="7"/>
        <v>13347</v>
      </c>
      <c r="J113" s="1">
        <v>6674</v>
      </c>
      <c r="K113" s="1">
        <v>2669</v>
      </c>
      <c r="L113" s="1"/>
      <c r="M113" s="1">
        <v>4004</v>
      </c>
      <c r="N113" s="11">
        <f t="shared" si="8"/>
        <v>13347</v>
      </c>
      <c r="O113" s="1">
        <v>30</v>
      </c>
      <c r="P113" s="1">
        <v>0</v>
      </c>
      <c r="Q113" s="1">
        <f t="shared" si="9"/>
        <v>30</v>
      </c>
      <c r="R113" s="11">
        <v>0</v>
      </c>
      <c r="S113" s="11">
        <f t="shared" si="10"/>
        <v>13347</v>
      </c>
      <c r="T113" s="1">
        <v>801</v>
      </c>
      <c r="U113" s="1">
        <v>101</v>
      </c>
      <c r="V113" s="1">
        <v>0</v>
      </c>
      <c r="W113" s="11">
        <f t="shared" si="11"/>
        <v>12445</v>
      </c>
      <c r="X113" s="12"/>
      <c r="Y113" s="11" t="s">
        <v>549</v>
      </c>
    </row>
    <row r="114" spans="1:25">
      <c r="A114" s="9">
        <f t="shared" si="13"/>
        <v>108</v>
      </c>
      <c r="B114" s="1" t="s">
        <v>326</v>
      </c>
      <c r="C114" s="1" t="s">
        <v>327</v>
      </c>
      <c r="D114" s="10" t="s">
        <v>328</v>
      </c>
      <c r="E114" s="11">
        <v>6674</v>
      </c>
      <c r="F114" s="11">
        <v>2669</v>
      </c>
      <c r="G114" s="11">
        <v>0</v>
      </c>
      <c r="H114" s="11">
        <v>4004</v>
      </c>
      <c r="I114" s="11">
        <f t="shared" si="7"/>
        <v>13347</v>
      </c>
      <c r="J114" s="1">
        <v>6674</v>
      </c>
      <c r="K114" s="1">
        <v>2669</v>
      </c>
      <c r="L114" s="1"/>
      <c r="M114" s="1">
        <v>4004</v>
      </c>
      <c r="N114" s="11">
        <f t="shared" si="8"/>
        <v>13347</v>
      </c>
      <c r="O114" s="1">
        <v>30</v>
      </c>
      <c r="P114" s="1">
        <v>0</v>
      </c>
      <c r="Q114" s="1">
        <f t="shared" si="9"/>
        <v>30</v>
      </c>
      <c r="R114" s="11">
        <v>0</v>
      </c>
      <c r="S114" s="11">
        <f t="shared" si="10"/>
        <v>13347</v>
      </c>
      <c r="T114" s="1">
        <v>801</v>
      </c>
      <c r="U114" s="1">
        <v>101</v>
      </c>
      <c r="V114" s="1">
        <v>0</v>
      </c>
      <c r="W114" s="11">
        <f t="shared" si="11"/>
        <v>12445</v>
      </c>
      <c r="X114" s="12"/>
      <c r="Y114" s="11"/>
    </row>
    <row r="115" spans="1:25">
      <c r="A115" s="9">
        <f t="shared" si="13"/>
        <v>109</v>
      </c>
      <c r="B115" s="1" t="s">
        <v>329</v>
      </c>
      <c r="C115" s="1" t="s">
        <v>330</v>
      </c>
      <c r="D115" s="10" t="s">
        <v>331</v>
      </c>
      <c r="E115" s="11">
        <v>6674</v>
      </c>
      <c r="F115" s="11">
        <v>2669</v>
      </c>
      <c r="G115" s="11">
        <v>0</v>
      </c>
      <c r="H115" s="11">
        <v>4004</v>
      </c>
      <c r="I115" s="11">
        <f t="shared" si="7"/>
        <v>13347</v>
      </c>
      <c r="J115" s="1">
        <v>6674</v>
      </c>
      <c r="K115" s="1">
        <v>2669</v>
      </c>
      <c r="L115" s="1"/>
      <c r="M115" s="1">
        <v>4004</v>
      </c>
      <c r="N115" s="11">
        <f t="shared" si="8"/>
        <v>13347</v>
      </c>
      <c r="O115" s="1">
        <v>30</v>
      </c>
      <c r="P115" s="1">
        <v>0</v>
      </c>
      <c r="Q115" s="1">
        <f t="shared" si="9"/>
        <v>30</v>
      </c>
      <c r="R115" s="11">
        <v>0</v>
      </c>
      <c r="S115" s="11">
        <f t="shared" si="10"/>
        <v>13347</v>
      </c>
      <c r="T115" s="1">
        <v>801</v>
      </c>
      <c r="U115" s="1">
        <v>101</v>
      </c>
      <c r="V115" s="1">
        <v>0</v>
      </c>
      <c r="W115" s="11">
        <f t="shared" si="11"/>
        <v>12445</v>
      </c>
      <c r="X115" s="12"/>
      <c r="Y115" s="11"/>
    </row>
    <row r="116" spans="1:25">
      <c r="A116" s="9">
        <f t="shared" si="13"/>
        <v>110</v>
      </c>
      <c r="B116" s="1" t="s">
        <v>332</v>
      </c>
      <c r="C116" s="1" t="s">
        <v>333</v>
      </c>
      <c r="D116" s="10" t="s">
        <v>331</v>
      </c>
      <c r="E116" s="11">
        <v>6674</v>
      </c>
      <c r="F116" s="11">
        <v>2669</v>
      </c>
      <c r="G116" s="11">
        <v>0</v>
      </c>
      <c r="H116" s="11">
        <v>4004</v>
      </c>
      <c r="I116" s="11">
        <f t="shared" si="7"/>
        <v>13347</v>
      </c>
      <c r="J116" s="1">
        <v>6674</v>
      </c>
      <c r="K116" s="1">
        <v>2669</v>
      </c>
      <c r="L116" s="1"/>
      <c r="M116" s="1">
        <v>4004</v>
      </c>
      <c r="N116" s="11">
        <f t="shared" si="8"/>
        <v>13347</v>
      </c>
      <c r="O116" s="1">
        <v>30</v>
      </c>
      <c r="P116" s="1">
        <v>0</v>
      </c>
      <c r="Q116" s="1">
        <f t="shared" si="9"/>
        <v>30</v>
      </c>
      <c r="R116" s="11">
        <v>0</v>
      </c>
      <c r="S116" s="11">
        <f t="shared" si="10"/>
        <v>13347</v>
      </c>
      <c r="T116" s="1">
        <v>801</v>
      </c>
      <c r="U116" s="1">
        <v>101</v>
      </c>
      <c r="V116" s="1">
        <v>0</v>
      </c>
      <c r="W116" s="11">
        <f t="shared" si="11"/>
        <v>12445</v>
      </c>
      <c r="X116" s="12"/>
      <c r="Y116" s="11"/>
    </row>
    <row r="117" spans="1:25">
      <c r="A117" s="9">
        <f t="shared" si="13"/>
        <v>111</v>
      </c>
      <c r="B117" s="1" t="s">
        <v>334</v>
      </c>
      <c r="C117" s="1" t="s">
        <v>335</v>
      </c>
      <c r="D117" s="10" t="s">
        <v>336</v>
      </c>
      <c r="E117" s="11">
        <v>6674</v>
      </c>
      <c r="F117" s="11">
        <v>2669</v>
      </c>
      <c r="G117" s="11">
        <v>0</v>
      </c>
      <c r="H117" s="11">
        <v>4004</v>
      </c>
      <c r="I117" s="11">
        <f t="shared" si="7"/>
        <v>13347</v>
      </c>
      <c r="J117" s="1">
        <v>6674</v>
      </c>
      <c r="K117" s="1">
        <v>2669</v>
      </c>
      <c r="L117" s="1"/>
      <c r="M117" s="1">
        <v>4004</v>
      </c>
      <c r="N117" s="11">
        <f t="shared" si="8"/>
        <v>13347</v>
      </c>
      <c r="O117" s="1">
        <v>30</v>
      </c>
      <c r="P117" s="1">
        <v>0</v>
      </c>
      <c r="Q117" s="1">
        <f t="shared" si="9"/>
        <v>30</v>
      </c>
      <c r="R117" s="11">
        <v>0</v>
      </c>
      <c r="S117" s="11">
        <f t="shared" si="10"/>
        <v>13347</v>
      </c>
      <c r="T117" s="1">
        <v>801</v>
      </c>
      <c r="U117" s="1">
        <v>101</v>
      </c>
      <c r="V117" s="1">
        <v>0</v>
      </c>
      <c r="W117" s="11">
        <f t="shared" si="11"/>
        <v>12445</v>
      </c>
      <c r="X117" s="12"/>
      <c r="Y117" s="11"/>
    </row>
    <row r="118" spans="1:25">
      <c r="A118" s="9">
        <f t="shared" si="13"/>
        <v>112</v>
      </c>
      <c r="B118" s="1" t="s">
        <v>337</v>
      </c>
      <c r="C118" s="1" t="s">
        <v>338</v>
      </c>
      <c r="D118" s="10" t="s">
        <v>339</v>
      </c>
      <c r="E118" s="11">
        <v>6674</v>
      </c>
      <c r="F118" s="11">
        <v>2669</v>
      </c>
      <c r="G118" s="11">
        <v>0</v>
      </c>
      <c r="H118" s="11">
        <v>4004</v>
      </c>
      <c r="I118" s="11">
        <f t="shared" si="7"/>
        <v>13347</v>
      </c>
      <c r="J118" s="1">
        <v>6674</v>
      </c>
      <c r="K118" s="1">
        <v>2669</v>
      </c>
      <c r="L118" s="1"/>
      <c r="M118" s="1">
        <v>4004</v>
      </c>
      <c r="N118" s="11">
        <f t="shared" si="8"/>
        <v>13347</v>
      </c>
      <c r="O118" s="1">
        <v>30</v>
      </c>
      <c r="P118" s="1">
        <v>0</v>
      </c>
      <c r="Q118" s="1">
        <f t="shared" si="9"/>
        <v>30</v>
      </c>
      <c r="R118" s="11">
        <v>0</v>
      </c>
      <c r="S118" s="11">
        <f t="shared" si="10"/>
        <v>13347</v>
      </c>
      <c r="T118" s="1">
        <v>801</v>
      </c>
      <c r="U118" s="1">
        <v>101</v>
      </c>
      <c r="V118" s="1">
        <v>0</v>
      </c>
      <c r="W118" s="11">
        <f t="shared" si="11"/>
        <v>12445</v>
      </c>
      <c r="X118" s="12"/>
      <c r="Y118" s="11"/>
    </row>
    <row r="119" spans="1:25">
      <c r="A119" s="9">
        <f t="shared" si="13"/>
        <v>113</v>
      </c>
      <c r="B119" s="1" t="s">
        <v>340</v>
      </c>
      <c r="C119" s="1" t="s">
        <v>341</v>
      </c>
      <c r="D119" s="10" t="s">
        <v>342</v>
      </c>
      <c r="E119" s="11">
        <v>6674</v>
      </c>
      <c r="F119" s="11">
        <v>2669</v>
      </c>
      <c r="G119" s="11">
        <v>0</v>
      </c>
      <c r="H119" s="11">
        <v>4004</v>
      </c>
      <c r="I119" s="11">
        <f t="shared" si="7"/>
        <v>13347</v>
      </c>
      <c r="J119" s="1">
        <v>6674</v>
      </c>
      <c r="K119" s="1">
        <v>2669</v>
      </c>
      <c r="L119" s="1"/>
      <c r="M119" s="1">
        <v>4004</v>
      </c>
      <c r="N119" s="11">
        <f t="shared" si="8"/>
        <v>13347</v>
      </c>
      <c r="O119" s="1">
        <v>30</v>
      </c>
      <c r="P119" s="1">
        <v>0</v>
      </c>
      <c r="Q119" s="1">
        <f t="shared" si="9"/>
        <v>30</v>
      </c>
      <c r="R119" s="11">
        <v>0</v>
      </c>
      <c r="S119" s="11">
        <f t="shared" si="10"/>
        <v>13347</v>
      </c>
      <c r="T119" s="1">
        <v>801</v>
      </c>
      <c r="U119" s="1">
        <v>101</v>
      </c>
      <c r="V119" s="1">
        <v>0</v>
      </c>
      <c r="W119" s="11">
        <f t="shared" si="11"/>
        <v>12445</v>
      </c>
      <c r="X119" s="12"/>
      <c r="Y119" s="11"/>
    </row>
    <row r="120" spans="1:25">
      <c r="A120" s="9">
        <f t="shared" si="13"/>
        <v>114</v>
      </c>
      <c r="B120" s="1" t="s">
        <v>343</v>
      </c>
      <c r="C120" s="1" t="s">
        <v>344</v>
      </c>
      <c r="D120" s="10" t="s">
        <v>345</v>
      </c>
      <c r="E120" s="11">
        <v>6674</v>
      </c>
      <c r="F120" s="11">
        <v>2669</v>
      </c>
      <c r="G120" s="11">
        <v>0</v>
      </c>
      <c r="H120" s="11">
        <v>4004</v>
      </c>
      <c r="I120" s="11">
        <f t="shared" si="7"/>
        <v>13347</v>
      </c>
      <c r="J120" s="1">
        <v>6674</v>
      </c>
      <c r="K120" s="1">
        <v>2669</v>
      </c>
      <c r="L120" s="1"/>
      <c r="M120" s="1">
        <v>4004</v>
      </c>
      <c r="N120" s="11">
        <f t="shared" si="8"/>
        <v>13347</v>
      </c>
      <c r="O120" s="1">
        <v>30</v>
      </c>
      <c r="P120" s="1">
        <v>0</v>
      </c>
      <c r="Q120" s="1">
        <f t="shared" si="9"/>
        <v>30</v>
      </c>
      <c r="R120" s="11">
        <v>0</v>
      </c>
      <c r="S120" s="11">
        <f t="shared" si="10"/>
        <v>13347</v>
      </c>
      <c r="T120" s="1">
        <v>801</v>
      </c>
      <c r="U120" s="1">
        <v>101</v>
      </c>
      <c r="V120" s="1">
        <v>0</v>
      </c>
      <c r="W120" s="11">
        <f t="shared" si="11"/>
        <v>12445</v>
      </c>
      <c r="X120" s="12"/>
      <c r="Y120" s="11"/>
    </row>
    <row r="121" spans="1:25">
      <c r="A121" s="9">
        <f t="shared" si="13"/>
        <v>115</v>
      </c>
      <c r="B121" s="1" t="s">
        <v>346</v>
      </c>
      <c r="C121" s="1" t="s">
        <v>347</v>
      </c>
      <c r="D121" s="10" t="s">
        <v>348</v>
      </c>
      <c r="E121" s="11">
        <v>6674</v>
      </c>
      <c r="F121" s="11">
        <v>2669</v>
      </c>
      <c r="G121" s="11">
        <v>0</v>
      </c>
      <c r="H121" s="11">
        <v>4004</v>
      </c>
      <c r="I121" s="11">
        <f t="shared" si="7"/>
        <v>13347</v>
      </c>
      <c r="J121" s="1">
        <v>6674</v>
      </c>
      <c r="K121" s="1">
        <v>2669</v>
      </c>
      <c r="L121" s="1"/>
      <c r="M121" s="1">
        <v>4004</v>
      </c>
      <c r="N121" s="11">
        <f t="shared" si="8"/>
        <v>13347</v>
      </c>
      <c r="O121" s="1">
        <v>30</v>
      </c>
      <c r="P121" s="1">
        <v>0</v>
      </c>
      <c r="Q121" s="1">
        <f t="shared" si="9"/>
        <v>30</v>
      </c>
      <c r="R121" s="11">
        <v>0</v>
      </c>
      <c r="S121" s="11">
        <f t="shared" si="10"/>
        <v>13347</v>
      </c>
      <c r="T121" s="1">
        <v>801</v>
      </c>
      <c r="U121" s="1">
        <v>101</v>
      </c>
      <c r="V121" s="1">
        <v>0</v>
      </c>
      <c r="W121" s="11">
        <f t="shared" si="11"/>
        <v>12445</v>
      </c>
      <c r="X121" s="12"/>
      <c r="Y121" s="11"/>
    </row>
    <row r="122" spans="1:25">
      <c r="A122" s="9">
        <f t="shared" si="13"/>
        <v>116</v>
      </c>
      <c r="B122" s="1" t="s">
        <v>349</v>
      </c>
      <c r="C122" s="1" t="s">
        <v>350</v>
      </c>
      <c r="D122" s="10" t="s">
        <v>348</v>
      </c>
      <c r="E122" s="11">
        <v>6674</v>
      </c>
      <c r="F122" s="11">
        <v>2669</v>
      </c>
      <c r="G122" s="11">
        <v>0</v>
      </c>
      <c r="H122" s="11">
        <v>4004</v>
      </c>
      <c r="I122" s="11">
        <f t="shared" si="7"/>
        <v>13347</v>
      </c>
      <c r="J122" s="1">
        <v>6674</v>
      </c>
      <c r="K122" s="1">
        <v>2669</v>
      </c>
      <c r="L122" s="1"/>
      <c r="M122" s="1">
        <v>4004</v>
      </c>
      <c r="N122" s="11">
        <f t="shared" si="8"/>
        <v>13347</v>
      </c>
      <c r="O122" s="1">
        <v>30</v>
      </c>
      <c r="P122" s="1">
        <v>0</v>
      </c>
      <c r="Q122" s="1">
        <f t="shared" si="9"/>
        <v>30</v>
      </c>
      <c r="R122" s="11">
        <v>0</v>
      </c>
      <c r="S122" s="11">
        <f t="shared" si="10"/>
        <v>13347</v>
      </c>
      <c r="T122" s="1">
        <v>801</v>
      </c>
      <c r="U122" s="1">
        <v>101</v>
      </c>
      <c r="V122" s="1">
        <v>0</v>
      </c>
      <c r="W122" s="11">
        <f t="shared" si="11"/>
        <v>12445</v>
      </c>
      <c r="X122" s="12"/>
      <c r="Y122" s="11"/>
    </row>
    <row r="123" spans="1:25">
      <c r="A123" s="9">
        <f t="shared" si="13"/>
        <v>117</v>
      </c>
      <c r="B123" s="1" t="s">
        <v>351</v>
      </c>
      <c r="C123" s="1" t="s">
        <v>352</v>
      </c>
      <c r="D123" s="10" t="s">
        <v>353</v>
      </c>
      <c r="E123" s="11">
        <v>6674</v>
      </c>
      <c r="F123" s="11">
        <v>2669</v>
      </c>
      <c r="G123" s="11">
        <v>0</v>
      </c>
      <c r="H123" s="11">
        <v>4004</v>
      </c>
      <c r="I123" s="11">
        <f t="shared" si="7"/>
        <v>13347</v>
      </c>
      <c r="J123" s="1">
        <v>6674</v>
      </c>
      <c r="K123" s="1">
        <v>2669</v>
      </c>
      <c r="L123" s="1"/>
      <c r="M123" s="1">
        <v>4004</v>
      </c>
      <c r="N123" s="11">
        <f t="shared" si="8"/>
        <v>13347</v>
      </c>
      <c r="O123" s="1">
        <v>30</v>
      </c>
      <c r="P123" s="1">
        <v>0</v>
      </c>
      <c r="Q123" s="1">
        <f t="shared" si="9"/>
        <v>30</v>
      </c>
      <c r="R123" s="11">
        <v>0</v>
      </c>
      <c r="S123" s="11">
        <f t="shared" si="10"/>
        <v>13347</v>
      </c>
      <c r="T123" s="1">
        <v>801</v>
      </c>
      <c r="U123" s="1">
        <v>101</v>
      </c>
      <c r="V123" s="1">
        <v>0</v>
      </c>
      <c r="W123" s="11">
        <f t="shared" si="11"/>
        <v>12445</v>
      </c>
      <c r="X123" s="12"/>
      <c r="Y123" s="11"/>
    </row>
    <row r="124" spans="1:25">
      <c r="A124" s="9">
        <f t="shared" si="13"/>
        <v>118</v>
      </c>
      <c r="B124" s="1" t="s">
        <v>354</v>
      </c>
      <c r="C124" s="1" t="s">
        <v>355</v>
      </c>
      <c r="D124" s="10" t="s">
        <v>356</v>
      </c>
      <c r="E124" s="11">
        <v>6674</v>
      </c>
      <c r="F124" s="11">
        <v>2669</v>
      </c>
      <c r="G124" s="11">
        <v>0</v>
      </c>
      <c r="H124" s="11">
        <v>4004</v>
      </c>
      <c r="I124" s="11">
        <f t="shared" si="7"/>
        <v>13347</v>
      </c>
      <c r="J124" s="1">
        <v>6674</v>
      </c>
      <c r="K124" s="1">
        <v>2669</v>
      </c>
      <c r="L124" s="1"/>
      <c r="M124" s="1">
        <v>4004</v>
      </c>
      <c r="N124" s="11">
        <f t="shared" si="8"/>
        <v>13347</v>
      </c>
      <c r="O124" s="1">
        <v>30</v>
      </c>
      <c r="P124" s="1">
        <v>0</v>
      </c>
      <c r="Q124" s="1">
        <f t="shared" si="9"/>
        <v>30</v>
      </c>
      <c r="R124" s="11">
        <v>0</v>
      </c>
      <c r="S124" s="11">
        <f t="shared" si="10"/>
        <v>13347</v>
      </c>
      <c r="T124" s="1">
        <v>801</v>
      </c>
      <c r="U124" s="1">
        <v>101</v>
      </c>
      <c r="V124" s="1">
        <v>0</v>
      </c>
      <c r="W124" s="11">
        <f t="shared" si="11"/>
        <v>12445</v>
      </c>
      <c r="X124" s="12"/>
      <c r="Y124" s="11"/>
    </row>
    <row r="125" spans="1:25">
      <c r="A125" s="9">
        <f t="shared" si="13"/>
        <v>119</v>
      </c>
      <c r="B125" s="1" t="s">
        <v>357</v>
      </c>
      <c r="C125" s="1" t="s">
        <v>358</v>
      </c>
      <c r="D125" s="10" t="s">
        <v>356</v>
      </c>
      <c r="E125" s="11">
        <v>6674</v>
      </c>
      <c r="F125" s="11">
        <v>2669</v>
      </c>
      <c r="G125" s="11">
        <v>0</v>
      </c>
      <c r="H125" s="11">
        <v>4004</v>
      </c>
      <c r="I125" s="11">
        <f t="shared" si="7"/>
        <v>13347</v>
      </c>
      <c r="J125" s="1">
        <v>6674</v>
      </c>
      <c r="K125" s="1">
        <v>2669</v>
      </c>
      <c r="L125" s="1"/>
      <c r="M125" s="1">
        <v>4004</v>
      </c>
      <c r="N125" s="11">
        <f t="shared" si="8"/>
        <v>13347</v>
      </c>
      <c r="O125" s="1">
        <v>30</v>
      </c>
      <c r="P125" s="1">
        <v>0</v>
      </c>
      <c r="Q125" s="1">
        <f t="shared" si="9"/>
        <v>30</v>
      </c>
      <c r="R125" s="11">
        <v>0</v>
      </c>
      <c r="S125" s="11">
        <f t="shared" si="10"/>
        <v>13347</v>
      </c>
      <c r="T125" s="1">
        <v>801</v>
      </c>
      <c r="U125" s="1">
        <v>101</v>
      </c>
      <c r="V125" s="1">
        <v>0</v>
      </c>
      <c r="W125" s="11">
        <f t="shared" si="11"/>
        <v>12445</v>
      </c>
      <c r="X125" s="12"/>
      <c r="Y125" s="11"/>
    </row>
    <row r="126" spans="1:25">
      <c r="A126" s="9">
        <f t="shared" si="13"/>
        <v>120</v>
      </c>
      <c r="B126" s="1" t="s">
        <v>359</v>
      </c>
      <c r="C126" s="1" t="s">
        <v>360</v>
      </c>
      <c r="D126" s="10" t="s">
        <v>361</v>
      </c>
      <c r="E126" s="11">
        <v>6674</v>
      </c>
      <c r="F126" s="11">
        <v>2669</v>
      </c>
      <c r="G126" s="11">
        <v>0</v>
      </c>
      <c r="H126" s="11">
        <v>4004</v>
      </c>
      <c r="I126" s="11">
        <f t="shared" si="7"/>
        <v>13347</v>
      </c>
      <c r="J126" s="1">
        <v>6674</v>
      </c>
      <c r="K126" s="1">
        <v>2669</v>
      </c>
      <c r="L126" s="1"/>
      <c r="M126" s="1">
        <v>4004</v>
      </c>
      <c r="N126" s="11">
        <f t="shared" si="8"/>
        <v>13347</v>
      </c>
      <c r="O126" s="1">
        <v>30</v>
      </c>
      <c r="P126" s="1">
        <v>0</v>
      </c>
      <c r="Q126" s="1">
        <f t="shared" si="9"/>
        <v>30</v>
      </c>
      <c r="R126" s="11">
        <v>0</v>
      </c>
      <c r="S126" s="11">
        <f t="shared" si="10"/>
        <v>13347</v>
      </c>
      <c r="T126" s="1">
        <v>801</v>
      </c>
      <c r="U126" s="1">
        <v>101</v>
      </c>
      <c r="V126" s="1">
        <v>0</v>
      </c>
      <c r="W126" s="11">
        <f t="shared" si="11"/>
        <v>12445</v>
      </c>
      <c r="X126" s="12"/>
      <c r="Y126" s="11"/>
    </row>
    <row r="127" spans="1:25">
      <c r="A127" s="9">
        <f t="shared" ref="A127:A190" si="14">+A126+1</f>
        <v>121</v>
      </c>
      <c r="B127" s="1" t="s">
        <v>362</v>
      </c>
      <c r="C127" s="1" t="s">
        <v>363</v>
      </c>
      <c r="D127" s="10" t="s">
        <v>364</v>
      </c>
      <c r="E127" s="11">
        <v>6674</v>
      </c>
      <c r="F127" s="11">
        <v>2669</v>
      </c>
      <c r="G127" s="11">
        <v>0</v>
      </c>
      <c r="H127" s="11">
        <v>4004</v>
      </c>
      <c r="I127" s="11">
        <f t="shared" si="7"/>
        <v>13347</v>
      </c>
      <c r="J127" s="1">
        <v>6674</v>
      </c>
      <c r="K127" s="1">
        <v>2669</v>
      </c>
      <c r="L127" s="1"/>
      <c r="M127" s="1">
        <v>4004</v>
      </c>
      <c r="N127" s="11">
        <f t="shared" si="8"/>
        <v>13347</v>
      </c>
      <c r="O127" s="1">
        <v>30</v>
      </c>
      <c r="P127" s="1">
        <v>0</v>
      </c>
      <c r="Q127" s="1">
        <f t="shared" si="9"/>
        <v>30</v>
      </c>
      <c r="R127" s="11">
        <v>0</v>
      </c>
      <c r="S127" s="11">
        <f t="shared" si="10"/>
        <v>13347</v>
      </c>
      <c r="T127" s="1">
        <v>801</v>
      </c>
      <c r="U127" s="1">
        <v>101</v>
      </c>
      <c r="V127" s="1">
        <v>0</v>
      </c>
      <c r="W127" s="11">
        <f t="shared" si="11"/>
        <v>12445</v>
      </c>
      <c r="X127" s="12"/>
      <c r="Y127" s="11"/>
    </row>
    <row r="128" spans="1:25">
      <c r="A128" s="9">
        <f t="shared" si="14"/>
        <v>122</v>
      </c>
      <c r="B128" s="1" t="s">
        <v>365</v>
      </c>
      <c r="C128" s="1" t="s">
        <v>366</v>
      </c>
      <c r="D128" s="10" t="s">
        <v>364</v>
      </c>
      <c r="E128" s="11">
        <v>6674</v>
      </c>
      <c r="F128" s="11">
        <v>2669</v>
      </c>
      <c r="G128" s="11">
        <v>0</v>
      </c>
      <c r="H128" s="11">
        <v>4004</v>
      </c>
      <c r="I128" s="11">
        <f t="shared" si="7"/>
        <v>13347</v>
      </c>
      <c r="J128" s="1">
        <v>6674</v>
      </c>
      <c r="K128" s="1">
        <v>2669</v>
      </c>
      <c r="L128" s="1"/>
      <c r="M128" s="1">
        <v>4004</v>
      </c>
      <c r="N128" s="11">
        <f t="shared" si="8"/>
        <v>13347</v>
      </c>
      <c r="O128" s="1">
        <v>30</v>
      </c>
      <c r="P128" s="1">
        <v>0</v>
      </c>
      <c r="Q128" s="1">
        <f t="shared" si="9"/>
        <v>30</v>
      </c>
      <c r="R128" s="11">
        <v>0</v>
      </c>
      <c r="S128" s="11">
        <f t="shared" si="10"/>
        <v>13347</v>
      </c>
      <c r="T128" s="1">
        <v>801</v>
      </c>
      <c r="U128" s="1">
        <v>101</v>
      </c>
      <c r="V128" s="1">
        <v>0</v>
      </c>
      <c r="W128" s="11">
        <f t="shared" si="11"/>
        <v>12445</v>
      </c>
      <c r="X128" s="12"/>
      <c r="Y128" s="11"/>
    </row>
    <row r="129" spans="1:25">
      <c r="A129" s="9">
        <f t="shared" si="14"/>
        <v>123</v>
      </c>
      <c r="B129" s="1" t="s">
        <v>367</v>
      </c>
      <c r="C129" s="1" t="s">
        <v>368</v>
      </c>
      <c r="D129" s="10" t="s">
        <v>369</v>
      </c>
      <c r="E129" s="11">
        <v>6674</v>
      </c>
      <c r="F129" s="11">
        <v>2669</v>
      </c>
      <c r="G129" s="11">
        <v>0</v>
      </c>
      <c r="H129" s="11">
        <v>4004</v>
      </c>
      <c r="I129" s="11">
        <f t="shared" si="7"/>
        <v>13347</v>
      </c>
      <c r="J129" s="1">
        <v>6674</v>
      </c>
      <c r="K129" s="1">
        <v>2669</v>
      </c>
      <c r="L129" s="1"/>
      <c r="M129" s="1">
        <v>4004</v>
      </c>
      <c r="N129" s="11">
        <f t="shared" si="8"/>
        <v>13347</v>
      </c>
      <c r="O129" s="1">
        <v>30</v>
      </c>
      <c r="P129" s="1">
        <v>0</v>
      </c>
      <c r="Q129" s="1">
        <f t="shared" si="9"/>
        <v>30</v>
      </c>
      <c r="R129" s="11">
        <v>0</v>
      </c>
      <c r="S129" s="11">
        <f t="shared" si="10"/>
        <v>13347</v>
      </c>
      <c r="T129" s="1">
        <v>801</v>
      </c>
      <c r="U129" s="1">
        <v>101</v>
      </c>
      <c r="V129" s="1">
        <v>0</v>
      </c>
      <c r="W129" s="11">
        <f t="shared" si="11"/>
        <v>12445</v>
      </c>
      <c r="X129" s="12"/>
      <c r="Y129" s="11"/>
    </row>
    <row r="130" spans="1:25">
      <c r="A130" s="9">
        <f t="shared" si="14"/>
        <v>124</v>
      </c>
      <c r="B130" s="1" t="s">
        <v>370</v>
      </c>
      <c r="C130" s="1" t="s">
        <v>371</v>
      </c>
      <c r="D130" s="10" t="s">
        <v>372</v>
      </c>
      <c r="E130" s="11">
        <v>6674</v>
      </c>
      <c r="F130" s="11">
        <v>2669</v>
      </c>
      <c r="G130" s="11">
        <v>0</v>
      </c>
      <c r="H130" s="11">
        <v>4004</v>
      </c>
      <c r="I130" s="11">
        <f t="shared" si="7"/>
        <v>13347</v>
      </c>
      <c r="J130" s="1">
        <v>6674</v>
      </c>
      <c r="K130" s="1">
        <v>2669</v>
      </c>
      <c r="L130" s="1"/>
      <c r="M130" s="1">
        <v>4004</v>
      </c>
      <c r="N130" s="11">
        <f t="shared" si="8"/>
        <v>13347</v>
      </c>
      <c r="O130" s="1">
        <v>30</v>
      </c>
      <c r="P130" s="1">
        <v>0</v>
      </c>
      <c r="Q130" s="1">
        <f t="shared" si="9"/>
        <v>30</v>
      </c>
      <c r="R130" s="11">
        <v>0</v>
      </c>
      <c r="S130" s="11">
        <f t="shared" si="10"/>
        <v>13347</v>
      </c>
      <c r="T130" s="1">
        <v>801</v>
      </c>
      <c r="U130" s="1">
        <v>101</v>
      </c>
      <c r="V130" s="1">
        <v>0</v>
      </c>
      <c r="W130" s="11">
        <f t="shared" si="11"/>
        <v>12445</v>
      </c>
      <c r="X130" s="12"/>
      <c r="Y130" s="11"/>
    </row>
    <row r="131" spans="1:25">
      <c r="A131" s="9">
        <f t="shared" si="14"/>
        <v>125</v>
      </c>
      <c r="B131" s="1" t="s">
        <v>373</v>
      </c>
      <c r="C131" s="1" t="s">
        <v>374</v>
      </c>
      <c r="D131" s="10" t="s">
        <v>375</v>
      </c>
      <c r="E131" s="11">
        <v>6674</v>
      </c>
      <c r="F131" s="11">
        <v>2669</v>
      </c>
      <c r="G131" s="11">
        <v>0</v>
      </c>
      <c r="H131" s="11">
        <v>4004</v>
      </c>
      <c r="I131" s="11">
        <f t="shared" si="7"/>
        <v>13347</v>
      </c>
      <c r="J131" s="1">
        <v>6674</v>
      </c>
      <c r="K131" s="1">
        <v>2669</v>
      </c>
      <c r="L131" s="1"/>
      <c r="M131" s="1">
        <v>4004</v>
      </c>
      <c r="N131" s="11">
        <f t="shared" si="8"/>
        <v>13347</v>
      </c>
      <c r="O131" s="1">
        <v>30</v>
      </c>
      <c r="P131" s="1">
        <v>0</v>
      </c>
      <c r="Q131" s="1">
        <f t="shared" si="9"/>
        <v>30</v>
      </c>
      <c r="R131" s="11">
        <v>0</v>
      </c>
      <c r="S131" s="11">
        <f t="shared" si="10"/>
        <v>13347</v>
      </c>
      <c r="T131" s="1">
        <v>801</v>
      </c>
      <c r="U131" s="1">
        <v>101</v>
      </c>
      <c r="V131" s="1">
        <v>0</v>
      </c>
      <c r="W131" s="11">
        <f t="shared" si="11"/>
        <v>12445</v>
      </c>
      <c r="X131" s="12"/>
      <c r="Y131" s="11"/>
    </row>
    <row r="132" spans="1:25">
      <c r="A132" s="9">
        <f t="shared" si="14"/>
        <v>126</v>
      </c>
      <c r="B132" s="1" t="s">
        <v>376</v>
      </c>
      <c r="C132" s="1" t="s">
        <v>377</v>
      </c>
      <c r="D132" s="10" t="s">
        <v>375</v>
      </c>
      <c r="E132" s="11">
        <v>6674</v>
      </c>
      <c r="F132" s="11">
        <v>2669</v>
      </c>
      <c r="G132" s="11">
        <v>0</v>
      </c>
      <c r="H132" s="11">
        <v>4004</v>
      </c>
      <c r="I132" s="11">
        <f t="shared" si="7"/>
        <v>13347</v>
      </c>
      <c r="J132" s="1">
        <v>6674</v>
      </c>
      <c r="K132" s="1">
        <v>2669</v>
      </c>
      <c r="L132" s="1"/>
      <c r="M132" s="1">
        <v>4004</v>
      </c>
      <c r="N132" s="11">
        <f t="shared" si="8"/>
        <v>13347</v>
      </c>
      <c r="O132" s="1">
        <v>30</v>
      </c>
      <c r="P132" s="1">
        <v>0</v>
      </c>
      <c r="Q132" s="1">
        <f t="shared" si="9"/>
        <v>30</v>
      </c>
      <c r="R132" s="11">
        <v>0</v>
      </c>
      <c r="S132" s="11">
        <f t="shared" si="10"/>
        <v>13347</v>
      </c>
      <c r="T132" s="1">
        <v>801</v>
      </c>
      <c r="U132" s="1">
        <v>101</v>
      </c>
      <c r="V132" s="1">
        <v>0</v>
      </c>
      <c r="W132" s="11">
        <f t="shared" si="11"/>
        <v>12445</v>
      </c>
      <c r="X132" s="12"/>
      <c r="Y132" s="11"/>
    </row>
    <row r="133" spans="1:25">
      <c r="A133" s="9">
        <f t="shared" si="14"/>
        <v>127</v>
      </c>
      <c r="B133" s="1" t="s">
        <v>378</v>
      </c>
      <c r="C133" s="1" t="s">
        <v>379</v>
      </c>
      <c r="D133" s="10" t="s">
        <v>375</v>
      </c>
      <c r="E133" s="11">
        <v>6674</v>
      </c>
      <c r="F133" s="11">
        <v>2669</v>
      </c>
      <c r="G133" s="11">
        <v>0</v>
      </c>
      <c r="H133" s="11">
        <v>4004</v>
      </c>
      <c r="I133" s="11">
        <f t="shared" si="7"/>
        <v>13347</v>
      </c>
      <c r="J133" s="1">
        <v>6674</v>
      </c>
      <c r="K133" s="1">
        <v>2669</v>
      </c>
      <c r="L133" s="1"/>
      <c r="M133" s="1">
        <v>4004</v>
      </c>
      <c r="N133" s="11">
        <f t="shared" si="8"/>
        <v>13347</v>
      </c>
      <c r="O133" s="1">
        <v>30</v>
      </c>
      <c r="P133" s="1">
        <v>0</v>
      </c>
      <c r="Q133" s="1">
        <f t="shared" si="9"/>
        <v>30</v>
      </c>
      <c r="R133" s="11">
        <v>0</v>
      </c>
      <c r="S133" s="11">
        <f t="shared" si="10"/>
        <v>13347</v>
      </c>
      <c r="T133" s="1">
        <v>801</v>
      </c>
      <c r="U133" s="1">
        <v>101</v>
      </c>
      <c r="V133" s="1">
        <v>0</v>
      </c>
      <c r="W133" s="11">
        <f t="shared" si="11"/>
        <v>12445</v>
      </c>
      <c r="X133" s="12"/>
      <c r="Y133" s="11"/>
    </row>
    <row r="134" spans="1:25">
      <c r="A134" s="9">
        <f t="shared" si="14"/>
        <v>128</v>
      </c>
      <c r="B134" s="1" t="s">
        <v>380</v>
      </c>
      <c r="C134" s="1" t="s">
        <v>381</v>
      </c>
      <c r="D134" s="10" t="s">
        <v>382</v>
      </c>
      <c r="E134" s="11">
        <v>6674</v>
      </c>
      <c r="F134" s="11">
        <v>2669</v>
      </c>
      <c r="G134" s="11">
        <v>0</v>
      </c>
      <c r="H134" s="11">
        <v>4004</v>
      </c>
      <c r="I134" s="11">
        <f t="shared" si="7"/>
        <v>13347</v>
      </c>
      <c r="J134" s="1">
        <v>6674</v>
      </c>
      <c r="K134" s="1">
        <v>2669</v>
      </c>
      <c r="L134" s="1"/>
      <c r="M134" s="1">
        <v>4004</v>
      </c>
      <c r="N134" s="11">
        <f t="shared" si="8"/>
        <v>13347</v>
      </c>
      <c r="O134" s="1">
        <v>30</v>
      </c>
      <c r="P134" s="1">
        <v>0</v>
      </c>
      <c r="Q134" s="1">
        <f t="shared" si="9"/>
        <v>30</v>
      </c>
      <c r="R134" s="11">
        <v>0</v>
      </c>
      <c r="S134" s="11">
        <f t="shared" si="10"/>
        <v>13347</v>
      </c>
      <c r="T134" s="1">
        <v>801</v>
      </c>
      <c r="U134" s="1">
        <v>101</v>
      </c>
      <c r="V134" s="1">
        <v>0</v>
      </c>
      <c r="W134" s="11">
        <f t="shared" si="11"/>
        <v>12445</v>
      </c>
      <c r="X134" s="12"/>
      <c r="Y134" s="11"/>
    </row>
    <row r="135" spans="1:25">
      <c r="A135" s="9">
        <f t="shared" si="14"/>
        <v>129</v>
      </c>
      <c r="B135" s="1" t="s">
        <v>383</v>
      </c>
      <c r="C135" s="1" t="s">
        <v>384</v>
      </c>
      <c r="D135" s="10" t="s">
        <v>385</v>
      </c>
      <c r="E135" s="11">
        <v>6674</v>
      </c>
      <c r="F135" s="11">
        <v>2669</v>
      </c>
      <c r="G135" s="11">
        <v>0</v>
      </c>
      <c r="H135" s="11">
        <v>4004</v>
      </c>
      <c r="I135" s="11">
        <f t="shared" ref="I135:I195" si="15">SUM(E135:H135)</f>
        <v>13347</v>
      </c>
      <c r="J135" s="1">
        <v>6674</v>
      </c>
      <c r="K135" s="1">
        <v>2669</v>
      </c>
      <c r="L135" s="1"/>
      <c r="M135" s="1">
        <v>4004</v>
      </c>
      <c r="N135" s="11">
        <f t="shared" ref="N135:N195" si="16">+SUM(J135:M135)</f>
        <v>13347</v>
      </c>
      <c r="O135" s="1">
        <v>30</v>
      </c>
      <c r="P135" s="1">
        <v>0</v>
      </c>
      <c r="Q135" s="1">
        <f t="shared" ref="Q135:Q195" si="17">O135-P135</f>
        <v>30</v>
      </c>
      <c r="R135" s="11">
        <v>0</v>
      </c>
      <c r="S135" s="11">
        <f t="shared" ref="S135:S195" si="18">+N135+R135</f>
        <v>13347</v>
      </c>
      <c r="T135" s="1">
        <v>801</v>
      </c>
      <c r="U135" s="1">
        <v>101</v>
      </c>
      <c r="V135" s="1">
        <v>0</v>
      </c>
      <c r="W135" s="11">
        <f t="shared" ref="W135:W195" si="19">+S135-SUM(T135:V135)</f>
        <v>12445</v>
      </c>
      <c r="X135" s="12"/>
      <c r="Y135" s="11"/>
    </row>
    <row r="136" spans="1:25">
      <c r="A136" s="9">
        <f t="shared" si="14"/>
        <v>130</v>
      </c>
      <c r="B136" s="1" t="s">
        <v>386</v>
      </c>
      <c r="C136" s="1" t="s">
        <v>387</v>
      </c>
      <c r="D136" s="10" t="s">
        <v>388</v>
      </c>
      <c r="E136" s="11">
        <v>6674</v>
      </c>
      <c r="F136" s="11">
        <v>2669</v>
      </c>
      <c r="G136" s="11">
        <v>0</v>
      </c>
      <c r="H136" s="11">
        <v>4004</v>
      </c>
      <c r="I136" s="11">
        <f t="shared" si="15"/>
        <v>13347</v>
      </c>
      <c r="J136" s="1">
        <v>6674</v>
      </c>
      <c r="K136" s="1">
        <v>2669</v>
      </c>
      <c r="L136" s="1"/>
      <c r="M136" s="1">
        <v>4004</v>
      </c>
      <c r="N136" s="11">
        <f t="shared" si="16"/>
        <v>13347</v>
      </c>
      <c r="O136" s="1">
        <v>30</v>
      </c>
      <c r="P136" s="1">
        <v>0</v>
      </c>
      <c r="Q136" s="1">
        <f t="shared" si="17"/>
        <v>30</v>
      </c>
      <c r="R136" s="11">
        <v>0</v>
      </c>
      <c r="S136" s="11">
        <f t="shared" si="18"/>
        <v>13347</v>
      </c>
      <c r="T136" s="1">
        <v>801</v>
      </c>
      <c r="U136" s="1">
        <v>101</v>
      </c>
      <c r="V136" s="1">
        <v>0</v>
      </c>
      <c r="W136" s="11">
        <f t="shared" si="19"/>
        <v>12445</v>
      </c>
      <c r="X136" s="12"/>
      <c r="Y136" s="11"/>
    </row>
    <row r="137" spans="1:25">
      <c r="A137" s="9">
        <f t="shared" si="14"/>
        <v>131</v>
      </c>
      <c r="B137" s="1" t="s">
        <v>389</v>
      </c>
      <c r="C137" s="1" t="s">
        <v>390</v>
      </c>
      <c r="D137" s="10" t="s">
        <v>391</v>
      </c>
      <c r="E137" s="11">
        <v>6674</v>
      </c>
      <c r="F137" s="11">
        <v>2669</v>
      </c>
      <c r="G137" s="11">
        <v>0</v>
      </c>
      <c r="H137" s="11">
        <v>4004</v>
      </c>
      <c r="I137" s="11">
        <f t="shared" si="15"/>
        <v>13347</v>
      </c>
      <c r="J137" s="1">
        <v>6674</v>
      </c>
      <c r="K137" s="1">
        <v>2669</v>
      </c>
      <c r="L137" s="1"/>
      <c r="M137" s="1">
        <v>4004</v>
      </c>
      <c r="N137" s="11">
        <f t="shared" si="16"/>
        <v>13347</v>
      </c>
      <c r="O137" s="1">
        <v>30</v>
      </c>
      <c r="P137" s="1">
        <v>0</v>
      </c>
      <c r="Q137" s="1">
        <f t="shared" si="17"/>
        <v>30</v>
      </c>
      <c r="R137" s="11">
        <v>0</v>
      </c>
      <c r="S137" s="11">
        <f t="shared" si="18"/>
        <v>13347</v>
      </c>
      <c r="T137" s="1">
        <v>801</v>
      </c>
      <c r="U137" s="1">
        <v>101</v>
      </c>
      <c r="V137" s="1">
        <v>0</v>
      </c>
      <c r="W137" s="11">
        <f t="shared" si="19"/>
        <v>12445</v>
      </c>
      <c r="X137" s="12"/>
      <c r="Y137" s="11"/>
    </row>
    <row r="138" spans="1:25">
      <c r="A138" s="9">
        <f t="shared" si="14"/>
        <v>132</v>
      </c>
      <c r="B138" s="1" t="s">
        <v>392</v>
      </c>
      <c r="C138" s="1" t="s">
        <v>393</v>
      </c>
      <c r="D138" s="10" t="s">
        <v>391</v>
      </c>
      <c r="E138" s="11">
        <v>6674</v>
      </c>
      <c r="F138" s="11">
        <v>2669</v>
      </c>
      <c r="G138" s="11">
        <v>0</v>
      </c>
      <c r="H138" s="11">
        <v>4004</v>
      </c>
      <c r="I138" s="11">
        <f t="shared" si="15"/>
        <v>13347</v>
      </c>
      <c r="J138" s="1">
        <v>6674</v>
      </c>
      <c r="K138" s="1">
        <v>2669</v>
      </c>
      <c r="L138" s="1"/>
      <c r="M138" s="1">
        <v>4004</v>
      </c>
      <c r="N138" s="11">
        <f t="shared" si="16"/>
        <v>13347</v>
      </c>
      <c r="O138" s="1">
        <v>30</v>
      </c>
      <c r="P138" s="1">
        <v>0</v>
      </c>
      <c r="Q138" s="1">
        <f t="shared" si="17"/>
        <v>30</v>
      </c>
      <c r="R138" s="11">
        <v>0</v>
      </c>
      <c r="S138" s="11">
        <f t="shared" si="18"/>
        <v>13347</v>
      </c>
      <c r="T138" s="1">
        <v>801</v>
      </c>
      <c r="U138" s="1">
        <v>101</v>
      </c>
      <c r="V138" s="1">
        <v>0</v>
      </c>
      <c r="W138" s="11">
        <f t="shared" si="19"/>
        <v>12445</v>
      </c>
      <c r="X138" s="12"/>
      <c r="Y138" s="11"/>
    </row>
    <row r="139" spans="1:25">
      <c r="A139" s="9">
        <f t="shared" si="14"/>
        <v>133</v>
      </c>
      <c r="B139" s="1" t="s">
        <v>394</v>
      </c>
      <c r="C139" s="1" t="s">
        <v>395</v>
      </c>
      <c r="D139" s="10" t="s">
        <v>396</v>
      </c>
      <c r="E139" s="11">
        <v>6674</v>
      </c>
      <c r="F139" s="11">
        <v>2669</v>
      </c>
      <c r="G139" s="11">
        <v>0</v>
      </c>
      <c r="H139" s="11">
        <v>4004</v>
      </c>
      <c r="I139" s="11">
        <f t="shared" si="15"/>
        <v>13347</v>
      </c>
      <c r="J139" s="1">
        <v>6674</v>
      </c>
      <c r="K139" s="1">
        <v>2669</v>
      </c>
      <c r="L139" s="1"/>
      <c r="M139" s="1">
        <v>4004</v>
      </c>
      <c r="N139" s="11">
        <f t="shared" si="16"/>
        <v>13347</v>
      </c>
      <c r="O139" s="1">
        <v>30</v>
      </c>
      <c r="P139" s="1">
        <v>0</v>
      </c>
      <c r="Q139" s="1">
        <f t="shared" si="17"/>
        <v>30</v>
      </c>
      <c r="R139" s="11">
        <v>0</v>
      </c>
      <c r="S139" s="11">
        <f t="shared" si="18"/>
        <v>13347</v>
      </c>
      <c r="T139" s="1">
        <v>801</v>
      </c>
      <c r="U139" s="1">
        <v>101</v>
      </c>
      <c r="V139" s="1">
        <v>0</v>
      </c>
      <c r="W139" s="11">
        <f t="shared" si="19"/>
        <v>12445</v>
      </c>
      <c r="X139" s="12"/>
      <c r="Y139" s="11"/>
    </row>
    <row r="140" spans="1:25">
      <c r="A140" s="9">
        <f t="shared" si="14"/>
        <v>134</v>
      </c>
      <c r="B140" s="1" t="s">
        <v>397</v>
      </c>
      <c r="C140" s="1" t="s">
        <v>398</v>
      </c>
      <c r="D140" s="10" t="s">
        <v>399</v>
      </c>
      <c r="E140" s="11">
        <v>6674</v>
      </c>
      <c r="F140" s="11">
        <v>2669</v>
      </c>
      <c r="G140" s="11">
        <v>0</v>
      </c>
      <c r="H140" s="11">
        <v>4004</v>
      </c>
      <c r="I140" s="11">
        <f t="shared" si="15"/>
        <v>13347</v>
      </c>
      <c r="J140" s="1">
        <v>6674</v>
      </c>
      <c r="K140" s="1">
        <v>2669</v>
      </c>
      <c r="L140" s="1"/>
      <c r="M140" s="1">
        <v>4004</v>
      </c>
      <c r="N140" s="11">
        <f t="shared" si="16"/>
        <v>13347</v>
      </c>
      <c r="O140" s="1">
        <v>30</v>
      </c>
      <c r="P140" s="1">
        <v>0</v>
      </c>
      <c r="Q140" s="1">
        <f t="shared" si="17"/>
        <v>30</v>
      </c>
      <c r="R140" s="11">
        <v>0</v>
      </c>
      <c r="S140" s="11">
        <f t="shared" si="18"/>
        <v>13347</v>
      </c>
      <c r="T140" s="1">
        <v>801</v>
      </c>
      <c r="U140" s="1">
        <v>101</v>
      </c>
      <c r="V140" s="1">
        <v>0</v>
      </c>
      <c r="W140" s="11">
        <f t="shared" si="19"/>
        <v>12445</v>
      </c>
      <c r="X140" s="12"/>
      <c r="Y140" s="11"/>
    </row>
    <row r="141" spans="1:25">
      <c r="A141" s="9">
        <f t="shared" si="14"/>
        <v>135</v>
      </c>
      <c r="B141" s="1" t="s">
        <v>400</v>
      </c>
      <c r="C141" s="1" t="s">
        <v>401</v>
      </c>
      <c r="D141" s="10" t="s">
        <v>399</v>
      </c>
      <c r="E141" s="11">
        <v>6674</v>
      </c>
      <c r="F141" s="11">
        <v>2669</v>
      </c>
      <c r="G141" s="11">
        <v>0</v>
      </c>
      <c r="H141" s="11">
        <v>4004</v>
      </c>
      <c r="I141" s="11">
        <f t="shared" si="15"/>
        <v>13347</v>
      </c>
      <c r="J141" s="1">
        <v>6674</v>
      </c>
      <c r="K141" s="1">
        <v>2669</v>
      </c>
      <c r="L141" s="1"/>
      <c r="M141" s="1">
        <v>4004</v>
      </c>
      <c r="N141" s="11">
        <f t="shared" si="16"/>
        <v>13347</v>
      </c>
      <c r="O141" s="1">
        <v>30</v>
      </c>
      <c r="P141" s="1">
        <v>0</v>
      </c>
      <c r="Q141" s="1">
        <f t="shared" si="17"/>
        <v>30</v>
      </c>
      <c r="R141" s="11">
        <v>0</v>
      </c>
      <c r="S141" s="11">
        <f t="shared" si="18"/>
        <v>13347</v>
      </c>
      <c r="T141" s="1">
        <v>801</v>
      </c>
      <c r="U141" s="1">
        <v>101</v>
      </c>
      <c r="V141" s="1">
        <v>0</v>
      </c>
      <c r="W141" s="11">
        <f t="shared" si="19"/>
        <v>12445</v>
      </c>
      <c r="X141" s="12"/>
      <c r="Y141" s="11"/>
    </row>
    <row r="142" spans="1:25">
      <c r="A142" s="9">
        <f t="shared" si="14"/>
        <v>136</v>
      </c>
      <c r="B142" s="1" t="s">
        <v>402</v>
      </c>
      <c r="C142" s="1" t="s">
        <v>403</v>
      </c>
      <c r="D142" s="10" t="s">
        <v>404</v>
      </c>
      <c r="E142" s="11">
        <v>6674</v>
      </c>
      <c r="F142" s="11">
        <v>2669</v>
      </c>
      <c r="G142" s="11">
        <v>0</v>
      </c>
      <c r="H142" s="11">
        <v>4004</v>
      </c>
      <c r="I142" s="11">
        <f t="shared" si="15"/>
        <v>13347</v>
      </c>
      <c r="J142" s="1">
        <v>6674</v>
      </c>
      <c r="K142" s="1">
        <v>2669</v>
      </c>
      <c r="L142" s="1"/>
      <c r="M142" s="1">
        <v>4004</v>
      </c>
      <c r="N142" s="11">
        <f t="shared" si="16"/>
        <v>13347</v>
      </c>
      <c r="O142" s="1">
        <v>30</v>
      </c>
      <c r="P142" s="1">
        <v>0</v>
      </c>
      <c r="Q142" s="1">
        <f t="shared" si="17"/>
        <v>30</v>
      </c>
      <c r="R142" s="11">
        <v>0</v>
      </c>
      <c r="S142" s="11">
        <f t="shared" si="18"/>
        <v>13347</v>
      </c>
      <c r="T142" s="1">
        <v>801</v>
      </c>
      <c r="U142" s="1">
        <v>101</v>
      </c>
      <c r="V142" s="1">
        <v>0</v>
      </c>
      <c r="W142" s="11">
        <f t="shared" si="19"/>
        <v>12445</v>
      </c>
      <c r="X142" s="12"/>
      <c r="Y142" s="11"/>
    </row>
    <row r="143" spans="1:25">
      <c r="A143" s="9">
        <f t="shared" si="14"/>
        <v>137</v>
      </c>
      <c r="B143" s="1" t="s">
        <v>405</v>
      </c>
      <c r="C143" s="1" t="s">
        <v>406</v>
      </c>
      <c r="D143" s="10" t="s">
        <v>407</v>
      </c>
      <c r="E143" s="11">
        <v>6674</v>
      </c>
      <c r="F143" s="11">
        <v>2669</v>
      </c>
      <c r="G143" s="11">
        <v>0</v>
      </c>
      <c r="H143" s="11">
        <v>4004</v>
      </c>
      <c r="I143" s="11">
        <f t="shared" si="15"/>
        <v>13347</v>
      </c>
      <c r="J143" s="1">
        <v>6674</v>
      </c>
      <c r="K143" s="1">
        <v>2669</v>
      </c>
      <c r="L143" s="1"/>
      <c r="M143" s="1">
        <v>4004</v>
      </c>
      <c r="N143" s="11">
        <f t="shared" si="16"/>
        <v>13347</v>
      </c>
      <c r="O143" s="1">
        <v>30</v>
      </c>
      <c r="P143" s="1">
        <v>0</v>
      </c>
      <c r="Q143" s="1">
        <f t="shared" si="17"/>
        <v>30</v>
      </c>
      <c r="R143" s="11">
        <v>0</v>
      </c>
      <c r="S143" s="11">
        <f t="shared" si="18"/>
        <v>13347</v>
      </c>
      <c r="T143" s="1">
        <v>801</v>
      </c>
      <c r="U143" s="1">
        <v>101</v>
      </c>
      <c r="V143" s="1">
        <v>0</v>
      </c>
      <c r="W143" s="11">
        <f t="shared" si="19"/>
        <v>12445</v>
      </c>
      <c r="X143" s="12"/>
      <c r="Y143" s="11"/>
    </row>
    <row r="144" spans="1:25">
      <c r="A144" s="9">
        <f t="shared" si="14"/>
        <v>138</v>
      </c>
      <c r="B144" s="1" t="s">
        <v>408</v>
      </c>
      <c r="C144" s="1" t="s">
        <v>409</v>
      </c>
      <c r="D144" s="10" t="s">
        <v>410</v>
      </c>
      <c r="E144" s="11">
        <v>6674</v>
      </c>
      <c r="F144" s="11">
        <v>2669</v>
      </c>
      <c r="G144" s="11">
        <v>0</v>
      </c>
      <c r="H144" s="11">
        <v>4004</v>
      </c>
      <c r="I144" s="11">
        <f t="shared" si="15"/>
        <v>13347</v>
      </c>
      <c r="J144" s="1">
        <v>6674</v>
      </c>
      <c r="K144" s="1">
        <v>2669</v>
      </c>
      <c r="L144" s="1"/>
      <c r="M144" s="1">
        <v>4004</v>
      </c>
      <c r="N144" s="11">
        <f t="shared" si="16"/>
        <v>13347</v>
      </c>
      <c r="O144" s="1">
        <v>30</v>
      </c>
      <c r="P144" s="1">
        <v>0</v>
      </c>
      <c r="Q144" s="1">
        <f t="shared" si="17"/>
        <v>30</v>
      </c>
      <c r="R144" s="11">
        <v>0</v>
      </c>
      <c r="S144" s="11">
        <f t="shared" si="18"/>
        <v>13347</v>
      </c>
      <c r="T144" s="1">
        <v>801</v>
      </c>
      <c r="U144" s="1">
        <v>101</v>
      </c>
      <c r="V144" s="1">
        <v>0</v>
      </c>
      <c r="W144" s="11">
        <f t="shared" si="19"/>
        <v>12445</v>
      </c>
      <c r="X144" s="12"/>
      <c r="Y144" s="11"/>
    </row>
    <row r="145" spans="1:25">
      <c r="A145" s="9">
        <f t="shared" si="14"/>
        <v>139</v>
      </c>
      <c r="B145" s="1" t="s">
        <v>411</v>
      </c>
      <c r="C145" s="1" t="s">
        <v>412</v>
      </c>
      <c r="D145" s="10" t="s">
        <v>413</v>
      </c>
      <c r="E145" s="11">
        <v>6674</v>
      </c>
      <c r="F145" s="11">
        <v>2669</v>
      </c>
      <c r="G145" s="11">
        <v>0</v>
      </c>
      <c r="H145" s="11">
        <v>4004</v>
      </c>
      <c r="I145" s="11">
        <f t="shared" si="15"/>
        <v>13347</v>
      </c>
      <c r="J145" s="1">
        <v>6674</v>
      </c>
      <c r="K145" s="1">
        <v>2669</v>
      </c>
      <c r="L145" s="1"/>
      <c r="M145" s="1">
        <v>4004</v>
      </c>
      <c r="N145" s="11">
        <f t="shared" si="16"/>
        <v>13347</v>
      </c>
      <c r="O145" s="1">
        <v>30</v>
      </c>
      <c r="P145" s="1">
        <v>0</v>
      </c>
      <c r="Q145" s="1">
        <f t="shared" si="17"/>
        <v>30</v>
      </c>
      <c r="R145" s="11">
        <v>0</v>
      </c>
      <c r="S145" s="11">
        <f t="shared" si="18"/>
        <v>13347</v>
      </c>
      <c r="T145" s="1">
        <v>801</v>
      </c>
      <c r="U145" s="1">
        <v>101</v>
      </c>
      <c r="V145" s="1">
        <v>0</v>
      </c>
      <c r="W145" s="11">
        <f t="shared" si="19"/>
        <v>12445</v>
      </c>
      <c r="X145" s="12"/>
      <c r="Y145" s="11"/>
    </row>
    <row r="146" spans="1:25">
      <c r="A146" s="9">
        <f t="shared" si="14"/>
        <v>140</v>
      </c>
      <c r="B146" s="1" t="s">
        <v>414</v>
      </c>
      <c r="C146" s="1" t="s">
        <v>415</v>
      </c>
      <c r="D146" s="10" t="s">
        <v>416</v>
      </c>
      <c r="E146" s="11">
        <v>6674</v>
      </c>
      <c r="F146" s="11">
        <v>2669</v>
      </c>
      <c r="G146" s="11">
        <v>0</v>
      </c>
      <c r="H146" s="11">
        <v>4004</v>
      </c>
      <c r="I146" s="11">
        <f t="shared" si="15"/>
        <v>13347</v>
      </c>
      <c r="J146" s="1">
        <v>6674</v>
      </c>
      <c r="K146" s="1">
        <v>2669</v>
      </c>
      <c r="L146" s="1"/>
      <c r="M146" s="1">
        <v>4004</v>
      </c>
      <c r="N146" s="11">
        <f t="shared" si="16"/>
        <v>13347</v>
      </c>
      <c r="O146" s="1">
        <v>30</v>
      </c>
      <c r="P146" s="1">
        <v>0</v>
      </c>
      <c r="Q146" s="1">
        <f t="shared" si="17"/>
        <v>30</v>
      </c>
      <c r="R146" s="11">
        <v>0</v>
      </c>
      <c r="S146" s="11">
        <f t="shared" si="18"/>
        <v>13347</v>
      </c>
      <c r="T146" s="1">
        <v>801</v>
      </c>
      <c r="U146" s="1">
        <v>101</v>
      </c>
      <c r="V146" s="1">
        <v>0</v>
      </c>
      <c r="W146" s="11">
        <f t="shared" si="19"/>
        <v>12445</v>
      </c>
      <c r="X146" s="12"/>
      <c r="Y146" s="11"/>
    </row>
    <row r="147" spans="1:25">
      <c r="A147" s="9">
        <f t="shared" si="14"/>
        <v>141</v>
      </c>
      <c r="B147" s="1" t="s">
        <v>417</v>
      </c>
      <c r="C147" s="1" t="s">
        <v>418</v>
      </c>
      <c r="D147" s="10" t="s">
        <v>419</v>
      </c>
      <c r="E147" s="11">
        <v>6674</v>
      </c>
      <c r="F147" s="11">
        <v>2669</v>
      </c>
      <c r="G147" s="11">
        <v>0</v>
      </c>
      <c r="H147" s="11">
        <v>4004</v>
      </c>
      <c r="I147" s="11">
        <f t="shared" si="15"/>
        <v>13347</v>
      </c>
      <c r="J147" s="1">
        <v>6674</v>
      </c>
      <c r="K147" s="1">
        <v>2669</v>
      </c>
      <c r="L147" s="1"/>
      <c r="M147" s="1">
        <v>4004</v>
      </c>
      <c r="N147" s="11">
        <f t="shared" si="16"/>
        <v>13347</v>
      </c>
      <c r="O147" s="1">
        <v>30</v>
      </c>
      <c r="P147" s="1">
        <v>0</v>
      </c>
      <c r="Q147" s="1">
        <f t="shared" si="17"/>
        <v>30</v>
      </c>
      <c r="R147" s="11">
        <v>0</v>
      </c>
      <c r="S147" s="11">
        <f t="shared" si="18"/>
        <v>13347</v>
      </c>
      <c r="T147" s="1">
        <v>801</v>
      </c>
      <c r="U147" s="1">
        <v>101</v>
      </c>
      <c r="V147" s="1">
        <v>0</v>
      </c>
      <c r="W147" s="11">
        <f t="shared" si="19"/>
        <v>12445</v>
      </c>
      <c r="X147" s="12"/>
      <c r="Y147" s="11"/>
    </row>
    <row r="148" spans="1:25">
      <c r="A148" s="9">
        <f t="shared" si="14"/>
        <v>142</v>
      </c>
      <c r="B148" s="1" t="s">
        <v>420</v>
      </c>
      <c r="C148" s="1" t="s">
        <v>421</v>
      </c>
      <c r="D148" s="10" t="s">
        <v>422</v>
      </c>
      <c r="E148" s="11">
        <v>6674</v>
      </c>
      <c r="F148" s="11">
        <v>2669</v>
      </c>
      <c r="G148" s="11">
        <v>0</v>
      </c>
      <c r="H148" s="11">
        <v>4004</v>
      </c>
      <c r="I148" s="11">
        <f t="shared" si="15"/>
        <v>13347</v>
      </c>
      <c r="J148" s="1">
        <v>6674</v>
      </c>
      <c r="K148" s="1">
        <v>2669</v>
      </c>
      <c r="L148" s="1"/>
      <c r="M148" s="1">
        <v>4004</v>
      </c>
      <c r="N148" s="11">
        <f t="shared" si="16"/>
        <v>13347</v>
      </c>
      <c r="O148" s="1">
        <v>30</v>
      </c>
      <c r="P148" s="1">
        <v>0</v>
      </c>
      <c r="Q148" s="1">
        <f t="shared" si="17"/>
        <v>30</v>
      </c>
      <c r="R148" s="11">
        <v>0</v>
      </c>
      <c r="S148" s="11">
        <f t="shared" si="18"/>
        <v>13347</v>
      </c>
      <c r="T148" s="1">
        <v>801</v>
      </c>
      <c r="U148" s="1">
        <v>101</v>
      </c>
      <c r="V148" s="1">
        <v>0</v>
      </c>
      <c r="W148" s="11">
        <f t="shared" si="19"/>
        <v>12445</v>
      </c>
      <c r="X148" s="12"/>
      <c r="Y148" s="11"/>
    </row>
    <row r="149" spans="1:25">
      <c r="A149" s="9">
        <f t="shared" si="14"/>
        <v>143</v>
      </c>
      <c r="B149" s="1" t="s">
        <v>423</v>
      </c>
      <c r="C149" s="1" t="s">
        <v>424</v>
      </c>
      <c r="D149" s="10" t="s">
        <v>422</v>
      </c>
      <c r="E149" s="11">
        <v>6674</v>
      </c>
      <c r="F149" s="11">
        <v>2669</v>
      </c>
      <c r="G149" s="11">
        <v>0</v>
      </c>
      <c r="H149" s="11">
        <v>4004</v>
      </c>
      <c r="I149" s="11">
        <f t="shared" si="15"/>
        <v>13347</v>
      </c>
      <c r="J149" s="1">
        <v>6674</v>
      </c>
      <c r="K149" s="1">
        <v>2669</v>
      </c>
      <c r="L149" s="1"/>
      <c r="M149" s="1">
        <v>4004</v>
      </c>
      <c r="N149" s="11">
        <f t="shared" si="16"/>
        <v>13347</v>
      </c>
      <c r="O149" s="1">
        <v>30</v>
      </c>
      <c r="P149" s="1">
        <v>0</v>
      </c>
      <c r="Q149" s="1">
        <f t="shared" si="17"/>
        <v>30</v>
      </c>
      <c r="R149" s="11">
        <v>0</v>
      </c>
      <c r="S149" s="11">
        <f t="shared" si="18"/>
        <v>13347</v>
      </c>
      <c r="T149" s="1">
        <v>801</v>
      </c>
      <c r="U149" s="1">
        <v>101</v>
      </c>
      <c r="V149" s="1">
        <v>0</v>
      </c>
      <c r="W149" s="11">
        <f t="shared" si="19"/>
        <v>12445</v>
      </c>
      <c r="X149" s="12"/>
      <c r="Y149" s="11"/>
    </row>
    <row r="150" spans="1:25">
      <c r="A150" s="9">
        <f t="shared" si="14"/>
        <v>144</v>
      </c>
      <c r="B150" s="1" t="s">
        <v>425</v>
      </c>
      <c r="C150" s="1" t="s">
        <v>426</v>
      </c>
      <c r="D150" s="10" t="s">
        <v>422</v>
      </c>
      <c r="E150" s="11">
        <v>6674</v>
      </c>
      <c r="F150" s="11">
        <v>2669</v>
      </c>
      <c r="G150" s="11">
        <v>0</v>
      </c>
      <c r="H150" s="11">
        <v>4004</v>
      </c>
      <c r="I150" s="11">
        <f t="shared" si="15"/>
        <v>13347</v>
      </c>
      <c r="J150" s="1">
        <v>6674</v>
      </c>
      <c r="K150" s="1">
        <v>2669</v>
      </c>
      <c r="L150" s="1"/>
      <c r="M150" s="1">
        <v>4004</v>
      </c>
      <c r="N150" s="11">
        <f t="shared" si="16"/>
        <v>13347</v>
      </c>
      <c r="O150" s="1">
        <v>30</v>
      </c>
      <c r="P150" s="1">
        <v>0</v>
      </c>
      <c r="Q150" s="1">
        <f t="shared" si="17"/>
        <v>30</v>
      </c>
      <c r="R150" s="11">
        <v>0</v>
      </c>
      <c r="S150" s="11">
        <f t="shared" si="18"/>
        <v>13347</v>
      </c>
      <c r="T150" s="1">
        <v>801</v>
      </c>
      <c r="U150" s="1">
        <v>101</v>
      </c>
      <c r="V150" s="1">
        <v>0</v>
      </c>
      <c r="W150" s="11">
        <f t="shared" si="19"/>
        <v>12445</v>
      </c>
      <c r="X150" s="12"/>
      <c r="Y150" s="11"/>
    </row>
    <row r="151" spans="1:25">
      <c r="A151" s="9">
        <f t="shared" si="14"/>
        <v>145</v>
      </c>
      <c r="B151" s="1" t="s">
        <v>427</v>
      </c>
      <c r="C151" s="1" t="s">
        <v>428</v>
      </c>
      <c r="D151" s="10" t="s">
        <v>429</v>
      </c>
      <c r="E151" s="11">
        <v>6674</v>
      </c>
      <c r="F151" s="11">
        <v>2669</v>
      </c>
      <c r="G151" s="11">
        <v>0</v>
      </c>
      <c r="H151" s="11">
        <v>4004</v>
      </c>
      <c r="I151" s="11">
        <f t="shared" si="15"/>
        <v>13347</v>
      </c>
      <c r="J151" s="1">
        <v>6674</v>
      </c>
      <c r="K151" s="1">
        <v>2669</v>
      </c>
      <c r="L151" s="1"/>
      <c r="M151" s="1">
        <v>4004</v>
      </c>
      <c r="N151" s="11">
        <f t="shared" si="16"/>
        <v>13347</v>
      </c>
      <c r="O151" s="1">
        <v>30</v>
      </c>
      <c r="P151" s="1">
        <v>0</v>
      </c>
      <c r="Q151" s="1">
        <f t="shared" si="17"/>
        <v>30</v>
      </c>
      <c r="R151" s="11">
        <v>0</v>
      </c>
      <c r="S151" s="11">
        <f t="shared" si="18"/>
        <v>13347</v>
      </c>
      <c r="T151" s="1">
        <v>801</v>
      </c>
      <c r="U151" s="1">
        <v>101</v>
      </c>
      <c r="V151" s="1">
        <v>0</v>
      </c>
      <c r="W151" s="11">
        <f t="shared" si="19"/>
        <v>12445</v>
      </c>
      <c r="X151" s="12"/>
      <c r="Y151" s="11"/>
    </row>
    <row r="152" spans="1:25">
      <c r="A152" s="9">
        <f t="shared" si="14"/>
        <v>146</v>
      </c>
      <c r="B152" s="1" t="s">
        <v>430</v>
      </c>
      <c r="C152" s="1" t="s">
        <v>431</v>
      </c>
      <c r="D152" s="10" t="s">
        <v>432</v>
      </c>
      <c r="E152" s="11">
        <v>6674</v>
      </c>
      <c r="F152" s="11">
        <v>2669</v>
      </c>
      <c r="G152" s="11">
        <v>0</v>
      </c>
      <c r="H152" s="11">
        <v>4004</v>
      </c>
      <c r="I152" s="11">
        <f t="shared" si="15"/>
        <v>13347</v>
      </c>
      <c r="J152" s="1">
        <v>6674</v>
      </c>
      <c r="K152" s="1">
        <v>2669</v>
      </c>
      <c r="L152" s="1"/>
      <c r="M152" s="1">
        <v>4004</v>
      </c>
      <c r="N152" s="11">
        <f t="shared" si="16"/>
        <v>13347</v>
      </c>
      <c r="O152" s="1">
        <v>30</v>
      </c>
      <c r="P152" s="1">
        <v>0</v>
      </c>
      <c r="Q152" s="1">
        <f t="shared" si="17"/>
        <v>30</v>
      </c>
      <c r="R152" s="11">
        <v>0</v>
      </c>
      <c r="S152" s="11">
        <f t="shared" si="18"/>
        <v>13347</v>
      </c>
      <c r="T152" s="1">
        <v>801</v>
      </c>
      <c r="U152" s="1">
        <v>101</v>
      </c>
      <c r="V152" s="1">
        <v>0</v>
      </c>
      <c r="W152" s="11">
        <f t="shared" si="19"/>
        <v>12445</v>
      </c>
      <c r="X152" s="12"/>
      <c r="Y152" s="11"/>
    </row>
    <row r="153" spans="1:25">
      <c r="A153" s="9">
        <f t="shared" si="14"/>
        <v>147</v>
      </c>
      <c r="B153" s="1" t="s">
        <v>433</v>
      </c>
      <c r="C153" s="1" t="s">
        <v>434</v>
      </c>
      <c r="D153" s="10" t="s">
        <v>435</v>
      </c>
      <c r="E153" s="11">
        <v>6674</v>
      </c>
      <c r="F153" s="11">
        <v>2669</v>
      </c>
      <c r="G153" s="11">
        <v>0</v>
      </c>
      <c r="H153" s="11">
        <v>4004</v>
      </c>
      <c r="I153" s="11">
        <f t="shared" si="15"/>
        <v>13347</v>
      </c>
      <c r="J153" s="1">
        <v>6674</v>
      </c>
      <c r="K153" s="1">
        <v>2669</v>
      </c>
      <c r="L153" s="1"/>
      <c r="M153" s="1">
        <v>4004</v>
      </c>
      <c r="N153" s="11">
        <f t="shared" si="16"/>
        <v>13347</v>
      </c>
      <c r="O153" s="1">
        <v>30</v>
      </c>
      <c r="P153" s="1">
        <v>0</v>
      </c>
      <c r="Q153" s="1">
        <f t="shared" si="17"/>
        <v>30</v>
      </c>
      <c r="R153" s="11">
        <v>0</v>
      </c>
      <c r="S153" s="11">
        <f t="shared" si="18"/>
        <v>13347</v>
      </c>
      <c r="T153" s="1">
        <v>801</v>
      </c>
      <c r="U153" s="1">
        <v>101</v>
      </c>
      <c r="V153" s="1">
        <v>0</v>
      </c>
      <c r="W153" s="11">
        <f t="shared" si="19"/>
        <v>12445</v>
      </c>
      <c r="X153" s="12"/>
      <c r="Y153" s="11"/>
    </row>
    <row r="154" spans="1:25">
      <c r="A154" s="9">
        <f t="shared" si="14"/>
        <v>148</v>
      </c>
      <c r="B154" s="1" t="s">
        <v>436</v>
      </c>
      <c r="C154" s="1" t="s">
        <v>437</v>
      </c>
      <c r="D154" s="10" t="s">
        <v>435</v>
      </c>
      <c r="E154" s="11">
        <v>6674</v>
      </c>
      <c r="F154" s="11">
        <v>2669</v>
      </c>
      <c r="G154" s="11">
        <v>0</v>
      </c>
      <c r="H154" s="11">
        <v>4004</v>
      </c>
      <c r="I154" s="11">
        <f t="shared" si="15"/>
        <v>13347</v>
      </c>
      <c r="J154" s="1">
        <v>6674</v>
      </c>
      <c r="K154" s="1">
        <v>2669</v>
      </c>
      <c r="L154" s="1"/>
      <c r="M154" s="1">
        <v>4004</v>
      </c>
      <c r="N154" s="11">
        <f t="shared" si="16"/>
        <v>13347</v>
      </c>
      <c r="O154" s="1">
        <v>30</v>
      </c>
      <c r="P154" s="1">
        <v>0</v>
      </c>
      <c r="Q154" s="1">
        <f t="shared" si="17"/>
        <v>30</v>
      </c>
      <c r="R154" s="11">
        <v>0</v>
      </c>
      <c r="S154" s="11">
        <f t="shared" si="18"/>
        <v>13347</v>
      </c>
      <c r="T154" s="1">
        <v>801</v>
      </c>
      <c r="U154" s="1">
        <v>101</v>
      </c>
      <c r="V154" s="1">
        <v>0</v>
      </c>
      <c r="W154" s="11">
        <f t="shared" si="19"/>
        <v>12445</v>
      </c>
      <c r="X154" s="12"/>
      <c r="Y154" s="11"/>
    </row>
    <row r="155" spans="1:25">
      <c r="A155" s="9">
        <f t="shared" si="14"/>
        <v>149</v>
      </c>
      <c r="B155" s="1" t="s">
        <v>438</v>
      </c>
      <c r="C155" s="1" t="s">
        <v>439</v>
      </c>
      <c r="D155" s="10" t="s">
        <v>440</v>
      </c>
      <c r="E155" s="11">
        <v>6674</v>
      </c>
      <c r="F155" s="11">
        <v>2669</v>
      </c>
      <c r="G155" s="11">
        <v>0</v>
      </c>
      <c r="H155" s="11">
        <v>4004</v>
      </c>
      <c r="I155" s="11">
        <f t="shared" si="15"/>
        <v>13347</v>
      </c>
      <c r="J155" s="1">
        <v>6674</v>
      </c>
      <c r="K155" s="1">
        <v>2669</v>
      </c>
      <c r="L155" s="1"/>
      <c r="M155" s="1">
        <v>4004</v>
      </c>
      <c r="N155" s="11">
        <f t="shared" si="16"/>
        <v>13347</v>
      </c>
      <c r="O155" s="1">
        <v>30</v>
      </c>
      <c r="P155" s="1">
        <v>0</v>
      </c>
      <c r="Q155" s="1">
        <f t="shared" si="17"/>
        <v>30</v>
      </c>
      <c r="R155" s="11">
        <v>0</v>
      </c>
      <c r="S155" s="11">
        <f t="shared" si="18"/>
        <v>13347</v>
      </c>
      <c r="T155" s="1">
        <v>801</v>
      </c>
      <c r="U155" s="1">
        <v>101</v>
      </c>
      <c r="V155" s="1">
        <v>0</v>
      </c>
      <c r="W155" s="11">
        <f t="shared" si="19"/>
        <v>12445</v>
      </c>
      <c r="X155" s="12"/>
      <c r="Y155" s="11"/>
    </row>
    <row r="156" spans="1:25">
      <c r="A156" s="9">
        <f t="shared" si="14"/>
        <v>150</v>
      </c>
      <c r="B156" s="1" t="s">
        <v>441</v>
      </c>
      <c r="C156" s="1" t="s">
        <v>442</v>
      </c>
      <c r="D156" s="10" t="s">
        <v>440</v>
      </c>
      <c r="E156" s="11">
        <v>6674</v>
      </c>
      <c r="F156" s="11">
        <v>2669</v>
      </c>
      <c r="G156" s="11">
        <v>0</v>
      </c>
      <c r="H156" s="11">
        <v>4004</v>
      </c>
      <c r="I156" s="11">
        <f t="shared" si="15"/>
        <v>13347</v>
      </c>
      <c r="J156" s="1">
        <v>6674</v>
      </c>
      <c r="K156" s="1">
        <v>2669</v>
      </c>
      <c r="L156" s="1"/>
      <c r="M156" s="1">
        <v>4004</v>
      </c>
      <c r="N156" s="11">
        <f t="shared" si="16"/>
        <v>13347</v>
      </c>
      <c r="O156" s="1">
        <v>30</v>
      </c>
      <c r="P156" s="1">
        <v>0</v>
      </c>
      <c r="Q156" s="1">
        <f t="shared" si="17"/>
        <v>30</v>
      </c>
      <c r="R156" s="11">
        <v>0</v>
      </c>
      <c r="S156" s="11">
        <f t="shared" si="18"/>
        <v>13347</v>
      </c>
      <c r="T156" s="1">
        <v>801</v>
      </c>
      <c r="U156" s="1">
        <v>101</v>
      </c>
      <c r="V156" s="1">
        <v>0</v>
      </c>
      <c r="W156" s="11">
        <f t="shared" si="19"/>
        <v>12445</v>
      </c>
      <c r="X156" s="12"/>
      <c r="Y156" s="11"/>
    </row>
    <row r="157" spans="1:25">
      <c r="A157" s="9">
        <f t="shared" si="14"/>
        <v>151</v>
      </c>
      <c r="B157" s="1" t="s">
        <v>443</v>
      </c>
      <c r="C157" s="1" t="s">
        <v>444</v>
      </c>
      <c r="D157" s="10" t="s">
        <v>445</v>
      </c>
      <c r="E157" s="11">
        <v>6674</v>
      </c>
      <c r="F157" s="11">
        <v>2669</v>
      </c>
      <c r="G157" s="11">
        <v>0</v>
      </c>
      <c r="H157" s="11">
        <v>4004</v>
      </c>
      <c r="I157" s="11">
        <f t="shared" si="15"/>
        <v>13347</v>
      </c>
      <c r="J157" s="1">
        <v>6674</v>
      </c>
      <c r="K157" s="1">
        <v>2669</v>
      </c>
      <c r="L157" s="1"/>
      <c r="M157" s="1">
        <v>4004</v>
      </c>
      <c r="N157" s="11">
        <f t="shared" si="16"/>
        <v>13347</v>
      </c>
      <c r="O157" s="1">
        <v>30</v>
      </c>
      <c r="P157" s="1">
        <v>0</v>
      </c>
      <c r="Q157" s="1">
        <f t="shared" si="17"/>
        <v>30</v>
      </c>
      <c r="R157" s="11">
        <v>0</v>
      </c>
      <c r="S157" s="11">
        <f t="shared" si="18"/>
        <v>13347</v>
      </c>
      <c r="T157" s="1">
        <v>801</v>
      </c>
      <c r="U157" s="1">
        <v>101</v>
      </c>
      <c r="V157" s="1">
        <v>0</v>
      </c>
      <c r="W157" s="11">
        <f t="shared" si="19"/>
        <v>12445</v>
      </c>
      <c r="X157" s="12"/>
      <c r="Y157" s="11"/>
    </row>
    <row r="158" spans="1:25">
      <c r="A158" s="9">
        <f t="shared" si="14"/>
        <v>152</v>
      </c>
      <c r="B158" s="1" t="s">
        <v>446</v>
      </c>
      <c r="C158" s="1" t="s">
        <v>447</v>
      </c>
      <c r="D158" s="10" t="s">
        <v>448</v>
      </c>
      <c r="E158" s="11">
        <v>6674</v>
      </c>
      <c r="F158" s="11">
        <v>2669</v>
      </c>
      <c r="G158" s="11">
        <v>0</v>
      </c>
      <c r="H158" s="11">
        <v>4004</v>
      </c>
      <c r="I158" s="11">
        <f t="shared" si="15"/>
        <v>13347</v>
      </c>
      <c r="J158" s="1">
        <v>6674</v>
      </c>
      <c r="K158" s="1">
        <v>2669</v>
      </c>
      <c r="L158" s="1"/>
      <c r="M158" s="1">
        <v>4004</v>
      </c>
      <c r="N158" s="11">
        <f t="shared" si="16"/>
        <v>13347</v>
      </c>
      <c r="O158" s="1">
        <v>30</v>
      </c>
      <c r="P158" s="1">
        <v>0</v>
      </c>
      <c r="Q158" s="1">
        <f t="shared" si="17"/>
        <v>30</v>
      </c>
      <c r="R158" s="11">
        <v>0</v>
      </c>
      <c r="S158" s="11">
        <f t="shared" si="18"/>
        <v>13347</v>
      </c>
      <c r="T158" s="1">
        <v>801</v>
      </c>
      <c r="U158" s="1">
        <v>101</v>
      </c>
      <c r="V158" s="1">
        <v>0</v>
      </c>
      <c r="W158" s="11">
        <f t="shared" si="19"/>
        <v>12445</v>
      </c>
      <c r="X158" s="12"/>
      <c r="Y158" s="11"/>
    </row>
    <row r="159" spans="1:25">
      <c r="A159" s="9">
        <f t="shared" si="14"/>
        <v>153</v>
      </c>
      <c r="B159" s="1" t="s">
        <v>449</v>
      </c>
      <c r="C159" s="1" t="s">
        <v>450</v>
      </c>
      <c r="D159" s="10" t="s">
        <v>448</v>
      </c>
      <c r="E159" s="11">
        <v>6674</v>
      </c>
      <c r="F159" s="11">
        <v>2669</v>
      </c>
      <c r="G159" s="11">
        <v>0</v>
      </c>
      <c r="H159" s="11">
        <v>4004</v>
      </c>
      <c r="I159" s="11">
        <f t="shared" si="15"/>
        <v>13347</v>
      </c>
      <c r="J159" s="1">
        <v>6674</v>
      </c>
      <c r="K159" s="1">
        <v>2669</v>
      </c>
      <c r="L159" s="1"/>
      <c r="M159" s="1">
        <v>4004</v>
      </c>
      <c r="N159" s="11">
        <f t="shared" si="16"/>
        <v>13347</v>
      </c>
      <c r="O159" s="1">
        <v>30</v>
      </c>
      <c r="P159" s="1">
        <v>0</v>
      </c>
      <c r="Q159" s="1">
        <f t="shared" si="17"/>
        <v>30</v>
      </c>
      <c r="R159" s="11">
        <v>0</v>
      </c>
      <c r="S159" s="11">
        <f t="shared" si="18"/>
        <v>13347</v>
      </c>
      <c r="T159" s="1">
        <v>801</v>
      </c>
      <c r="U159" s="1">
        <v>101</v>
      </c>
      <c r="V159" s="1">
        <v>0</v>
      </c>
      <c r="W159" s="11">
        <f t="shared" si="19"/>
        <v>12445</v>
      </c>
      <c r="X159" s="12"/>
      <c r="Y159" s="11"/>
    </row>
    <row r="160" spans="1:25">
      <c r="A160" s="9">
        <f t="shared" si="14"/>
        <v>154</v>
      </c>
      <c r="B160" s="1" t="s">
        <v>451</v>
      </c>
      <c r="C160" s="1" t="s">
        <v>452</v>
      </c>
      <c r="D160" s="10" t="s">
        <v>448</v>
      </c>
      <c r="E160" s="11">
        <v>6674</v>
      </c>
      <c r="F160" s="11">
        <v>2669</v>
      </c>
      <c r="G160" s="11">
        <v>0</v>
      </c>
      <c r="H160" s="11">
        <v>4004</v>
      </c>
      <c r="I160" s="11">
        <f t="shared" si="15"/>
        <v>13347</v>
      </c>
      <c r="J160" s="1">
        <v>6674</v>
      </c>
      <c r="K160" s="1">
        <v>2669</v>
      </c>
      <c r="L160" s="1"/>
      <c r="M160" s="1">
        <v>4004</v>
      </c>
      <c r="N160" s="11">
        <f t="shared" si="16"/>
        <v>13347</v>
      </c>
      <c r="O160" s="1">
        <v>30</v>
      </c>
      <c r="P160" s="1">
        <v>0</v>
      </c>
      <c r="Q160" s="1">
        <f t="shared" si="17"/>
        <v>30</v>
      </c>
      <c r="R160" s="11">
        <v>0</v>
      </c>
      <c r="S160" s="11">
        <f t="shared" si="18"/>
        <v>13347</v>
      </c>
      <c r="T160" s="1">
        <v>801</v>
      </c>
      <c r="U160" s="1">
        <v>101</v>
      </c>
      <c r="V160" s="1">
        <v>0</v>
      </c>
      <c r="W160" s="11">
        <f t="shared" si="19"/>
        <v>12445</v>
      </c>
      <c r="X160" s="12"/>
      <c r="Y160" s="11"/>
    </row>
    <row r="161" spans="1:25">
      <c r="A161" s="9">
        <f t="shared" si="14"/>
        <v>155</v>
      </c>
      <c r="B161" s="1" t="s">
        <v>453</v>
      </c>
      <c r="C161" s="1" t="s">
        <v>454</v>
      </c>
      <c r="D161" s="10" t="s">
        <v>455</v>
      </c>
      <c r="E161" s="11">
        <v>6674</v>
      </c>
      <c r="F161" s="11">
        <v>2669</v>
      </c>
      <c r="G161" s="11">
        <v>0</v>
      </c>
      <c r="H161" s="11">
        <v>4004</v>
      </c>
      <c r="I161" s="11">
        <f t="shared" si="15"/>
        <v>13347</v>
      </c>
      <c r="J161" s="1">
        <v>6674</v>
      </c>
      <c r="K161" s="1">
        <v>2669</v>
      </c>
      <c r="L161" s="1"/>
      <c r="M161" s="1">
        <v>4004</v>
      </c>
      <c r="N161" s="11">
        <f t="shared" si="16"/>
        <v>13347</v>
      </c>
      <c r="O161" s="1">
        <v>30</v>
      </c>
      <c r="P161" s="1">
        <v>0</v>
      </c>
      <c r="Q161" s="1">
        <f t="shared" si="17"/>
        <v>30</v>
      </c>
      <c r="R161" s="11">
        <v>0</v>
      </c>
      <c r="S161" s="11">
        <f t="shared" si="18"/>
        <v>13347</v>
      </c>
      <c r="T161" s="1">
        <v>801</v>
      </c>
      <c r="U161" s="1">
        <v>101</v>
      </c>
      <c r="V161" s="1">
        <v>0</v>
      </c>
      <c r="W161" s="11">
        <f t="shared" si="19"/>
        <v>12445</v>
      </c>
      <c r="X161" s="12"/>
      <c r="Y161" s="11"/>
    </row>
    <row r="162" spans="1:25">
      <c r="A162" s="9">
        <f t="shared" si="14"/>
        <v>156</v>
      </c>
      <c r="B162" s="1" t="s">
        <v>456</v>
      </c>
      <c r="C162" s="1" t="s">
        <v>457</v>
      </c>
      <c r="D162" s="10" t="s">
        <v>458</v>
      </c>
      <c r="E162" s="11">
        <v>6674</v>
      </c>
      <c r="F162" s="11">
        <v>2669</v>
      </c>
      <c r="G162" s="11">
        <v>0</v>
      </c>
      <c r="H162" s="11">
        <v>4004</v>
      </c>
      <c r="I162" s="11">
        <f t="shared" si="15"/>
        <v>13347</v>
      </c>
      <c r="J162" s="1">
        <v>6674</v>
      </c>
      <c r="K162" s="1">
        <v>2669</v>
      </c>
      <c r="L162" s="1"/>
      <c r="M162" s="1">
        <v>4004</v>
      </c>
      <c r="N162" s="11">
        <f t="shared" si="16"/>
        <v>13347</v>
      </c>
      <c r="O162" s="1">
        <v>30</v>
      </c>
      <c r="P162" s="1">
        <v>0</v>
      </c>
      <c r="Q162" s="1">
        <f t="shared" si="17"/>
        <v>30</v>
      </c>
      <c r="R162" s="11">
        <v>0</v>
      </c>
      <c r="S162" s="11">
        <f t="shared" si="18"/>
        <v>13347</v>
      </c>
      <c r="T162" s="1">
        <v>801</v>
      </c>
      <c r="U162" s="1">
        <v>101</v>
      </c>
      <c r="V162" s="1">
        <v>0</v>
      </c>
      <c r="W162" s="11">
        <f t="shared" si="19"/>
        <v>12445</v>
      </c>
      <c r="X162" s="12"/>
      <c r="Y162" s="11"/>
    </row>
    <row r="163" spans="1:25">
      <c r="A163" s="9">
        <f t="shared" si="14"/>
        <v>157</v>
      </c>
      <c r="B163" s="1" t="s">
        <v>459</v>
      </c>
      <c r="C163" s="1" t="s">
        <v>460</v>
      </c>
      <c r="D163" s="10" t="s">
        <v>461</v>
      </c>
      <c r="E163" s="11">
        <v>6674</v>
      </c>
      <c r="F163" s="11">
        <v>2669</v>
      </c>
      <c r="G163" s="11">
        <v>0</v>
      </c>
      <c r="H163" s="11">
        <v>4004</v>
      </c>
      <c r="I163" s="11">
        <f t="shared" si="15"/>
        <v>13347</v>
      </c>
      <c r="J163" s="1">
        <v>6674</v>
      </c>
      <c r="K163" s="1">
        <v>2669</v>
      </c>
      <c r="L163" s="1"/>
      <c r="M163" s="1">
        <v>4004</v>
      </c>
      <c r="N163" s="11">
        <f t="shared" si="16"/>
        <v>13347</v>
      </c>
      <c r="O163" s="1">
        <v>30</v>
      </c>
      <c r="P163" s="1">
        <v>0</v>
      </c>
      <c r="Q163" s="1">
        <f t="shared" si="17"/>
        <v>30</v>
      </c>
      <c r="R163" s="11">
        <v>0</v>
      </c>
      <c r="S163" s="11">
        <f t="shared" si="18"/>
        <v>13347</v>
      </c>
      <c r="T163" s="1">
        <v>801</v>
      </c>
      <c r="U163" s="1">
        <v>101</v>
      </c>
      <c r="V163" s="1">
        <v>0</v>
      </c>
      <c r="W163" s="11">
        <f t="shared" si="19"/>
        <v>12445</v>
      </c>
      <c r="X163" s="12"/>
      <c r="Y163" s="11"/>
    </row>
    <row r="164" spans="1:25">
      <c r="A164" s="9">
        <f t="shared" si="14"/>
        <v>158</v>
      </c>
      <c r="B164" s="1" t="s">
        <v>462</v>
      </c>
      <c r="C164" s="1" t="s">
        <v>463</v>
      </c>
      <c r="D164" s="10" t="s">
        <v>461</v>
      </c>
      <c r="E164" s="11">
        <v>6674</v>
      </c>
      <c r="F164" s="11">
        <v>2669</v>
      </c>
      <c r="G164" s="11">
        <v>0</v>
      </c>
      <c r="H164" s="11">
        <v>4004</v>
      </c>
      <c r="I164" s="11">
        <f t="shared" si="15"/>
        <v>13347</v>
      </c>
      <c r="J164" s="1">
        <v>6674</v>
      </c>
      <c r="K164" s="1">
        <v>2669</v>
      </c>
      <c r="L164" s="1"/>
      <c r="M164" s="1">
        <v>4004</v>
      </c>
      <c r="N164" s="11">
        <f t="shared" si="16"/>
        <v>13347</v>
      </c>
      <c r="O164" s="1">
        <v>30</v>
      </c>
      <c r="P164" s="1">
        <v>0</v>
      </c>
      <c r="Q164" s="1">
        <f t="shared" si="17"/>
        <v>30</v>
      </c>
      <c r="R164" s="11">
        <v>0</v>
      </c>
      <c r="S164" s="11">
        <f t="shared" si="18"/>
        <v>13347</v>
      </c>
      <c r="T164" s="1">
        <v>801</v>
      </c>
      <c r="U164" s="1">
        <v>101</v>
      </c>
      <c r="V164" s="1">
        <v>0</v>
      </c>
      <c r="W164" s="11">
        <f t="shared" si="19"/>
        <v>12445</v>
      </c>
      <c r="X164" s="12"/>
      <c r="Y164" s="11"/>
    </row>
    <row r="165" spans="1:25">
      <c r="A165" s="9">
        <f t="shared" si="14"/>
        <v>159</v>
      </c>
      <c r="B165" s="1" t="s">
        <v>464</v>
      </c>
      <c r="C165" s="1" t="s">
        <v>465</v>
      </c>
      <c r="D165" s="10" t="s">
        <v>461</v>
      </c>
      <c r="E165" s="11">
        <v>6674</v>
      </c>
      <c r="F165" s="11">
        <v>2669</v>
      </c>
      <c r="G165" s="11">
        <v>0</v>
      </c>
      <c r="H165" s="11">
        <v>4004</v>
      </c>
      <c r="I165" s="11">
        <f t="shared" si="15"/>
        <v>13347</v>
      </c>
      <c r="J165" s="1">
        <v>6674</v>
      </c>
      <c r="K165" s="1">
        <v>2669</v>
      </c>
      <c r="L165" s="1"/>
      <c r="M165" s="1">
        <v>4004</v>
      </c>
      <c r="N165" s="11">
        <f t="shared" si="16"/>
        <v>13347</v>
      </c>
      <c r="O165" s="1">
        <v>30</v>
      </c>
      <c r="P165" s="1">
        <v>0</v>
      </c>
      <c r="Q165" s="1">
        <f t="shared" si="17"/>
        <v>30</v>
      </c>
      <c r="R165" s="11">
        <v>0</v>
      </c>
      <c r="S165" s="11">
        <f t="shared" si="18"/>
        <v>13347</v>
      </c>
      <c r="T165" s="1">
        <v>801</v>
      </c>
      <c r="U165" s="1">
        <v>101</v>
      </c>
      <c r="V165" s="1">
        <v>0</v>
      </c>
      <c r="W165" s="11">
        <f t="shared" si="19"/>
        <v>12445</v>
      </c>
      <c r="X165" s="12"/>
      <c r="Y165" s="11"/>
    </row>
    <row r="166" spans="1:25">
      <c r="A166" s="9">
        <f t="shared" si="14"/>
        <v>160</v>
      </c>
      <c r="B166" s="1" t="s">
        <v>466</v>
      </c>
      <c r="C166" s="1" t="s">
        <v>467</v>
      </c>
      <c r="D166" s="10" t="s">
        <v>461</v>
      </c>
      <c r="E166" s="11">
        <v>6674</v>
      </c>
      <c r="F166" s="11">
        <v>2669</v>
      </c>
      <c r="G166" s="11">
        <v>0</v>
      </c>
      <c r="H166" s="11">
        <v>4004</v>
      </c>
      <c r="I166" s="11">
        <f t="shared" si="15"/>
        <v>13347</v>
      </c>
      <c r="J166" s="1">
        <v>6674</v>
      </c>
      <c r="K166" s="1">
        <v>2669</v>
      </c>
      <c r="L166" s="1"/>
      <c r="M166" s="1">
        <v>4004</v>
      </c>
      <c r="N166" s="11">
        <f t="shared" si="16"/>
        <v>13347</v>
      </c>
      <c r="O166" s="1">
        <v>30</v>
      </c>
      <c r="P166" s="1">
        <v>0</v>
      </c>
      <c r="Q166" s="1">
        <f t="shared" si="17"/>
        <v>30</v>
      </c>
      <c r="R166" s="11">
        <v>0</v>
      </c>
      <c r="S166" s="11">
        <f t="shared" si="18"/>
        <v>13347</v>
      </c>
      <c r="T166" s="1">
        <v>801</v>
      </c>
      <c r="U166" s="1">
        <v>101</v>
      </c>
      <c r="V166" s="1">
        <v>0</v>
      </c>
      <c r="W166" s="11">
        <f t="shared" si="19"/>
        <v>12445</v>
      </c>
      <c r="X166" s="12"/>
      <c r="Y166" s="11"/>
    </row>
    <row r="167" spans="1:25">
      <c r="A167" s="9">
        <f t="shared" si="14"/>
        <v>161</v>
      </c>
      <c r="B167" s="1" t="s">
        <v>468</v>
      </c>
      <c r="C167" s="1" t="s">
        <v>469</v>
      </c>
      <c r="D167" s="10" t="s">
        <v>461</v>
      </c>
      <c r="E167" s="11">
        <v>6674</v>
      </c>
      <c r="F167" s="11">
        <v>2669</v>
      </c>
      <c r="G167" s="11">
        <v>0</v>
      </c>
      <c r="H167" s="11">
        <v>4004</v>
      </c>
      <c r="I167" s="11">
        <f t="shared" si="15"/>
        <v>13347</v>
      </c>
      <c r="J167" s="1">
        <v>6674</v>
      </c>
      <c r="K167" s="1">
        <v>2669</v>
      </c>
      <c r="L167" s="1"/>
      <c r="M167" s="1">
        <v>4004</v>
      </c>
      <c r="N167" s="11">
        <f t="shared" si="16"/>
        <v>13347</v>
      </c>
      <c r="O167" s="1">
        <v>30</v>
      </c>
      <c r="P167" s="1">
        <v>0</v>
      </c>
      <c r="Q167" s="1">
        <f t="shared" si="17"/>
        <v>30</v>
      </c>
      <c r="R167" s="11">
        <v>0</v>
      </c>
      <c r="S167" s="11">
        <f t="shared" si="18"/>
        <v>13347</v>
      </c>
      <c r="T167" s="1">
        <v>801</v>
      </c>
      <c r="U167" s="1">
        <v>101</v>
      </c>
      <c r="V167" s="1">
        <v>0</v>
      </c>
      <c r="W167" s="11">
        <f t="shared" si="19"/>
        <v>12445</v>
      </c>
      <c r="X167" s="12"/>
      <c r="Y167" s="11"/>
    </row>
    <row r="168" spans="1:25">
      <c r="A168" s="9">
        <f t="shared" si="14"/>
        <v>162</v>
      </c>
      <c r="B168" s="1" t="s">
        <v>472</v>
      </c>
      <c r="C168" s="1" t="s">
        <v>473</v>
      </c>
      <c r="D168" s="10" t="s">
        <v>474</v>
      </c>
      <c r="E168" s="11">
        <v>6674</v>
      </c>
      <c r="F168" s="11">
        <v>2669</v>
      </c>
      <c r="G168" s="11">
        <v>0</v>
      </c>
      <c r="H168" s="11">
        <v>4004</v>
      </c>
      <c r="I168" s="11">
        <f t="shared" si="15"/>
        <v>13347</v>
      </c>
      <c r="J168" s="1">
        <v>6674</v>
      </c>
      <c r="K168" s="1">
        <v>2669</v>
      </c>
      <c r="L168" s="1"/>
      <c r="M168" s="1">
        <v>4004</v>
      </c>
      <c r="N168" s="11">
        <f t="shared" si="16"/>
        <v>13347</v>
      </c>
      <c r="O168" s="1">
        <v>30</v>
      </c>
      <c r="P168" s="1">
        <v>0</v>
      </c>
      <c r="Q168" s="1">
        <f t="shared" si="17"/>
        <v>30</v>
      </c>
      <c r="R168" s="11">
        <v>0</v>
      </c>
      <c r="S168" s="11">
        <f t="shared" si="18"/>
        <v>13347</v>
      </c>
      <c r="T168" s="1">
        <v>801</v>
      </c>
      <c r="U168" s="1">
        <v>101</v>
      </c>
      <c r="V168" s="1">
        <v>0</v>
      </c>
      <c r="W168" s="11">
        <f t="shared" si="19"/>
        <v>12445</v>
      </c>
      <c r="X168" s="12"/>
      <c r="Y168" s="11"/>
    </row>
    <row r="169" spans="1:25">
      <c r="A169" s="9">
        <f t="shared" si="14"/>
        <v>163</v>
      </c>
      <c r="B169" s="1" t="s">
        <v>475</v>
      </c>
      <c r="C169" s="1" t="s">
        <v>476</v>
      </c>
      <c r="D169" s="10" t="s">
        <v>474</v>
      </c>
      <c r="E169" s="11">
        <v>6674</v>
      </c>
      <c r="F169" s="11">
        <v>2669</v>
      </c>
      <c r="G169" s="11">
        <v>0</v>
      </c>
      <c r="H169" s="11">
        <v>4004</v>
      </c>
      <c r="I169" s="11">
        <f t="shared" si="15"/>
        <v>13347</v>
      </c>
      <c r="J169" s="1">
        <v>6674</v>
      </c>
      <c r="K169" s="1">
        <v>2669</v>
      </c>
      <c r="L169" s="1"/>
      <c r="M169" s="1">
        <v>4004</v>
      </c>
      <c r="N169" s="11">
        <f t="shared" si="16"/>
        <v>13347</v>
      </c>
      <c r="O169" s="1">
        <v>30</v>
      </c>
      <c r="P169" s="1">
        <v>0</v>
      </c>
      <c r="Q169" s="1">
        <f t="shared" si="17"/>
        <v>30</v>
      </c>
      <c r="R169" s="11">
        <v>0</v>
      </c>
      <c r="S169" s="11">
        <f t="shared" si="18"/>
        <v>13347</v>
      </c>
      <c r="T169" s="1">
        <v>801</v>
      </c>
      <c r="U169" s="1">
        <v>101</v>
      </c>
      <c r="V169" s="1">
        <v>0</v>
      </c>
      <c r="W169" s="11">
        <f t="shared" si="19"/>
        <v>12445</v>
      </c>
      <c r="X169" s="12"/>
      <c r="Y169" s="11"/>
    </row>
    <row r="170" spans="1:25">
      <c r="A170" s="9">
        <f t="shared" si="14"/>
        <v>164</v>
      </c>
      <c r="B170" s="1" t="s">
        <v>477</v>
      </c>
      <c r="C170" s="1" t="s">
        <v>478</v>
      </c>
      <c r="D170" s="10" t="s">
        <v>474</v>
      </c>
      <c r="E170" s="11">
        <v>6674</v>
      </c>
      <c r="F170" s="11">
        <v>2669</v>
      </c>
      <c r="G170" s="11">
        <v>0</v>
      </c>
      <c r="H170" s="11">
        <v>4004</v>
      </c>
      <c r="I170" s="11">
        <f t="shared" si="15"/>
        <v>13347</v>
      </c>
      <c r="J170" s="1">
        <v>6674</v>
      </c>
      <c r="K170" s="1">
        <v>2669</v>
      </c>
      <c r="L170" s="1"/>
      <c r="M170" s="1">
        <v>4004</v>
      </c>
      <c r="N170" s="11">
        <f t="shared" si="16"/>
        <v>13347</v>
      </c>
      <c r="O170" s="1">
        <v>30</v>
      </c>
      <c r="P170" s="1">
        <v>0</v>
      </c>
      <c r="Q170" s="1">
        <f t="shared" si="17"/>
        <v>30</v>
      </c>
      <c r="R170" s="11">
        <v>0</v>
      </c>
      <c r="S170" s="11">
        <f t="shared" si="18"/>
        <v>13347</v>
      </c>
      <c r="T170" s="1">
        <v>801</v>
      </c>
      <c r="U170" s="1">
        <v>101</v>
      </c>
      <c r="V170" s="1">
        <v>0</v>
      </c>
      <c r="W170" s="11">
        <f t="shared" si="19"/>
        <v>12445</v>
      </c>
      <c r="X170" s="12"/>
      <c r="Y170" s="11"/>
    </row>
    <row r="171" spans="1:25">
      <c r="A171" s="9">
        <f t="shared" si="14"/>
        <v>165</v>
      </c>
      <c r="B171" s="1" t="s">
        <v>479</v>
      </c>
      <c r="C171" s="1" t="s">
        <v>480</v>
      </c>
      <c r="D171" s="10" t="s">
        <v>474</v>
      </c>
      <c r="E171" s="11">
        <v>6674</v>
      </c>
      <c r="F171" s="11">
        <v>2669</v>
      </c>
      <c r="G171" s="11">
        <v>0</v>
      </c>
      <c r="H171" s="11">
        <v>4004</v>
      </c>
      <c r="I171" s="11">
        <f t="shared" si="15"/>
        <v>13347</v>
      </c>
      <c r="J171" s="1">
        <v>6674</v>
      </c>
      <c r="K171" s="1">
        <v>2669</v>
      </c>
      <c r="L171" s="1"/>
      <c r="M171" s="1">
        <v>4004</v>
      </c>
      <c r="N171" s="11">
        <f t="shared" si="16"/>
        <v>13347</v>
      </c>
      <c r="O171" s="1">
        <v>30</v>
      </c>
      <c r="P171" s="1">
        <v>0</v>
      </c>
      <c r="Q171" s="1">
        <f t="shared" si="17"/>
        <v>30</v>
      </c>
      <c r="R171" s="11">
        <v>0</v>
      </c>
      <c r="S171" s="11">
        <f t="shared" si="18"/>
        <v>13347</v>
      </c>
      <c r="T171" s="1">
        <v>801</v>
      </c>
      <c r="U171" s="1">
        <v>101</v>
      </c>
      <c r="V171" s="1">
        <v>0</v>
      </c>
      <c r="W171" s="11">
        <f t="shared" si="19"/>
        <v>12445</v>
      </c>
      <c r="X171" s="12"/>
      <c r="Y171" s="11"/>
    </row>
    <row r="172" spans="1:25">
      <c r="A172" s="9">
        <f t="shared" si="14"/>
        <v>166</v>
      </c>
      <c r="B172" s="1" t="s">
        <v>481</v>
      </c>
      <c r="C172" s="1" t="s">
        <v>482</v>
      </c>
      <c r="D172" s="10" t="s">
        <v>474</v>
      </c>
      <c r="E172" s="11">
        <v>6674</v>
      </c>
      <c r="F172" s="11">
        <v>2669</v>
      </c>
      <c r="G172" s="11">
        <v>0</v>
      </c>
      <c r="H172" s="11">
        <v>4004</v>
      </c>
      <c r="I172" s="11">
        <f t="shared" si="15"/>
        <v>13347</v>
      </c>
      <c r="J172" s="1">
        <v>6674</v>
      </c>
      <c r="K172" s="1">
        <v>2669</v>
      </c>
      <c r="L172" s="1"/>
      <c r="M172" s="1">
        <v>4004</v>
      </c>
      <c r="N172" s="11">
        <f t="shared" si="16"/>
        <v>13347</v>
      </c>
      <c r="O172" s="1">
        <v>30</v>
      </c>
      <c r="P172" s="1">
        <v>0</v>
      </c>
      <c r="Q172" s="1">
        <f t="shared" si="17"/>
        <v>30</v>
      </c>
      <c r="R172" s="11">
        <v>0</v>
      </c>
      <c r="S172" s="11">
        <f t="shared" si="18"/>
        <v>13347</v>
      </c>
      <c r="T172" s="1">
        <v>801</v>
      </c>
      <c r="U172" s="1">
        <v>101</v>
      </c>
      <c r="V172" s="1">
        <v>0</v>
      </c>
      <c r="W172" s="11">
        <f t="shared" si="19"/>
        <v>12445</v>
      </c>
      <c r="X172" s="12"/>
      <c r="Y172" s="11"/>
    </row>
    <row r="173" spans="1:25">
      <c r="A173" s="9">
        <f t="shared" si="14"/>
        <v>167</v>
      </c>
      <c r="B173" s="1" t="s">
        <v>483</v>
      </c>
      <c r="C173" s="1" t="s">
        <v>484</v>
      </c>
      <c r="D173" s="10" t="s">
        <v>485</v>
      </c>
      <c r="E173" s="11">
        <v>6674</v>
      </c>
      <c r="F173" s="11">
        <v>2669</v>
      </c>
      <c r="G173" s="11">
        <v>0</v>
      </c>
      <c r="H173" s="11">
        <v>4004</v>
      </c>
      <c r="I173" s="11">
        <f t="shared" si="15"/>
        <v>13347</v>
      </c>
      <c r="J173" s="1">
        <v>6674</v>
      </c>
      <c r="K173" s="1">
        <v>2669</v>
      </c>
      <c r="L173" s="1"/>
      <c r="M173" s="1">
        <v>4004</v>
      </c>
      <c r="N173" s="11">
        <f t="shared" si="16"/>
        <v>13347</v>
      </c>
      <c r="O173" s="1">
        <v>30</v>
      </c>
      <c r="P173" s="1">
        <v>0</v>
      </c>
      <c r="Q173" s="1">
        <f t="shared" si="17"/>
        <v>30</v>
      </c>
      <c r="R173" s="11">
        <v>0</v>
      </c>
      <c r="S173" s="11">
        <f t="shared" si="18"/>
        <v>13347</v>
      </c>
      <c r="T173" s="1">
        <v>801</v>
      </c>
      <c r="U173" s="1">
        <v>101</v>
      </c>
      <c r="V173" s="1">
        <v>0</v>
      </c>
      <c r="W173" s="11">
        <f t="shared" si="19"/>
        <v>12445</v>
      </c>
      <c r="X173" s="12"/>
      <c r="Y173" s="11"/>
    </row>
    <row r="174" spans="1:25">
      <c r="A174" s="9">
        <f t="shared" si="14"/>
        <v>168</v>
      </c>
      <c r="B174" s="1" t="s">
        <v>486</v>
      </c>
      <c r="C174" s="1" t="s">
        <v>487</v>
      </c>
      <c r="D174" s="10" t="s">
        <v>485</v>
      </c>
      <c r="E174" s="11">
        <v>6674</v>
      </c>
      <c r="F174" s="11">
        <v>2669</v>
      </c>
      <c r="G174" s="11">
        <v>0</v>
      </c>
      <c r="H174" s="11">
        <v>4004</v>
      </c>
      <c r="I174" s="11">
        <f t="shared" si="15"/>
        <v>13347</v>
      </c>
      <c r="J174" s="1">
        <v>6674</v>
      </c>
      <c r="K174" s="1">
        <v>2669</v>
      </c>
      <c r="L174" s="1"/>
      <c r="M174" s="1">
        <v>4004</v>
      </c>
      <c r="N174" s="11">
        <f t="shared" si="16"/>
        <v>13347</v>
      </c>
      <c r="O174" s="1">
        <v>30</v>
      </c>
      <c r="P174" s="1">
        <v>0</v>
      </c>
      <c r="Q174" s="1">
        <f t="shared" si="17"/>
        <v>30</v>
      </c>
      <c r="R174" s="11">
        <v>0</v>
      </c>
      <c r="S174" s="11">
        <f t="shared" si="18"/>
        <v>13347</v>
      </c>
      <c r="T174" s="1">
        <v>801</v>
      </c>
      <c r="U174" s="1">
        <v>101</v>
      </c>
      <c r="V174" s="1">
        <v>0</v>
      </c>
      <c r="W174" s="11">
        <f t="shared" si="19"/>
        <v>12445</v>
      </c>
      <c r="X174" s="12"/>
      <c r="Y174" s="11"/>
    </row>
    <row r="175" spans="1:25">
      <c r="A175" s="9">
        <f t="shared" si="14"/>
        <v>169</v>
      </c>
      <c r="B175" s="1" t="s">
        <v>488</v>
      </c>
      <c r="C175" s="1" t="s">
        <v>489</v>
      </c>
      <c r="D175" s="10" t="s">
        <v>485</v>
      </c>
      <c r="E175" s="11">
        <v>6674</v>
      </c>
      <c r="F175" s="11">
        <v>2669</v>
      </c>
      <c r="G175" s="11">
        <v>0</v>
      </c>
      <c r="H175" s="11">
        <v>4004</v>
      </c>
      <c r="I175" s="11">
        <f t="shared" si="15"/>
        <v>13347</v>
      </c>
      <c r="J175" s="1">
        <v>6674</v>
      </c>
      <c r="K175" s="1">
        <v>2669</v>
      </c>
      <c r="L175" s="1"/>
      <c r="M175" s="1">
        <v>4004</v>
      </c>
      <c r="N175" s="11">
        <f t="shared" si="16"/>
        <v>13347</v>
      </c>
      <c r="O175" s="1">
        <v>30</v>
      </c>
      <c r="P175" s="1">
        <v>0</v>
      </c>
      <c r="Q175" s="1">
        <f t="shared" si="17"/>
        <v>30</v>
      </c>
      <c r="R175" s="11">
        <v>0</v>
      </c>
      <c r="S175" s="11">
        <f t="shared" si="18"/>
        <v>13347</v>
      </c>
      <c r="T175" s="1">
        <v>801</v>
      </c>
      <c r="U175" s="1">
        <v>101</v>
      </c>
      <c r="V175" s="1">
        <v>0</v>
      </c>
      <c r="W175" s="11">
        <f t="shared" si="19"/>
        <v>12445</v>
      </c>
      <c r="X175" s="12"/>
      <c r="Y175" s="11"/>
    </row>
    <row r="176" spans="1:25">
      <c r="A176" s="9">
        <f t="shared" si="14"/>
        <v>170</v>
      </c>
      <c r="B176" s="1" t="s">
        <v>490</v>
      </c>
      <c r="C176" s="1" t="s">
        <v>491</v>
      </c>
      <c r="D176" s="10" t="s">
        <v>492</v>
      </c>
      <c r="E176" s="11">
        <v>6674</v>
      </c>
      <c r="F176" s="11">
        <v>2669</v>
      </c>
      <c r="G176" s="11">
        <v>0</v>
      </c>
      <c r="H176" s="11">
        <v>4004</v>
      </c>
      <c r="I176" s="11">
        <f t="shared" si="15"/>
        <v>13347</v>
      </c>
      <c r="J176" s="1">
        <v>6674</v>
      </c>
      <c r="K176" s="1">
        <v>2669</v>
      </c>
      <c r="L176" s="1"/>
      <c r="M176" s="1">
        <v>4004</v>
      </c>
      <c r="N176" s="11">
        <f t="shared" si="16"/>
        <v>13347</v>
      </c>
      <c r="O176" s="1">
        <v>30</v>
      </c>
      <c r="P176" s="1">
        <v>0</v>
      </c>
      <c r="Q176" s="1">
        <f t="shared" si="17"/>
        <v>30</v>
      </c>
      <c r="R176" s="11">
        <v>0</v>
      </c>
      <c r="S176" s="11">
        <f t="shared" si="18"/>
        <v>13347</v>
      </c>
      <c r="T176" s="1">
        <v>801</v>
      </c>
      <c r="U176" s="1">
        <v>101</v>
      </c>
      <c r="V176" s="1">
        <v>0</v>
      </c>
      <c r="W176" s="11">
        <f t="shared" si="19"/>
        <v>12445</v>
      </c>
      <c r="X176" s="12"/>
      <c r="Y176" s="11"/>
    </row>
    <row r="177" spans="1:25">
      <c r="A177" s="9">
        <f t="shared" si="14"/>
        <v>171</v>
      </c>
      <c r="B177" s="1" t="s">
        <v>470</v>
      </c>
      <c r="C177" s="1" t="s">
        <v>471</v>
      </c>
      <c r="D177" s="19" t="s">
        <v>461</v>
      </c>
      <c r="E177" s="11">
        <v>6674</v>
      </c>
      <c r="F177" s="11">
        <v>2669</v>
      </c>
      <c r="G177" s="11">
        <v>0</v>
      </c>
      <c r="H177" s="11">
        <v>4004</v>
      </c>
      <c r="I177" s="11">
        <f t="shared" si="15"/>
        <v>13347</v>
      </c>
      <c r="J177" s="1">
        <v>6674</v>
      </c>
      <c r="K177" s="1">
        <v>2669</v>
      </c>
      <c r="L177" s="1"/>
      <c r="M177" s="1">
        <v>4004</v>
      </c>
      <c r="N177" s="11">
        <f t="shared" si="16"/>
        <v>13347</v>
      </c>
      <c r="O177" s="1">
        <v>30</v>
      </c>
      <c r="P177" s="1">
        <v>0</v>
      </c>
      <c r="Q177" s="1">
        <f t="shared" si="17"/>
        <v>30</v>
      </c>
      <c r="R177" s="11">
        <v>0</v>
      </c>
      <c r="S177" s="11">
        <f t="shared" si="18"/>
        <v>13347</v>
      </c>
      <c r="T177" s="1">
        <v>801</v>
      </c>
      <c r="U177" s="1">
        <v>101</v>
      </c>
      <c r="V177" s="1">
        <v>0</v>
      </c>
      <c r="W177" s="11">
        <f t="shared" si="19"/>
        <v>12445</v>
      </c>
      <c r="X177" s="20"/>
      <c r="Y177" s="2"/>
    </row>
    <row r="178" spans="1:25">
      <c r="A178" s="9">
        <f t="shared" si="14"/>
        <v>172</v>
      </c>
      <c r="B178" s="1" t="s">
        <v>493</v>
      </c>
      <c r="C178" s="1" t="s">
        <v>494</v>
      </c>
      <c r="D178" s="10" t="s">
        <v>495</v>
      </c>
      <c r="E178" s="11">
        <v>6674</v>
      </c>
      <c r="F178" s="11">
        <v>2669</v>
      </c>
      <c r="G178" s="11">
        <v>0</v>
      </c>
      <c r="H178" s="11">
        <v>4004</v>
      </c>
      <c r="I178" s="11">
        <f t="shared" si="15"/>
        <v>13347</v>
      </c>
      <c r="J178" s="1">
        <v>6674</v>
      </c>
      <c r="K178" s="1">
        <v>2669</v>
      </c>
      <c r="L178" s="1"/>
      <c r="M178" s="1">
        <v>4004</v>
      </c>
      <c r="N178" s="11">
        <f t="shared" si="16"/>
        <v>13347</v>
      </c>
      <c r="O178" s="1">
        <v>30</v>
      </c>
      <c r="P178" s="1">
        <v>0</v>
      </c>
      <c r="Q178" s="1">
        <f t="shared" si="17"/>
        <v>30</v>
      </c>
      <c r="R178" s="11">
        <v>0</v>
      </c>
      <c r="S178" s="11">
        <f t="shared" si="18"/>
        <v>13347</v>
      </c>
      <c r="T178" s="1">
        <v>801</v>
      </c>
      <c r="U178" s="1">
        <v>101</v>
      </c>
      <c r="V178" s="1">
        <v>0</v>
      </c>
      <c r="W178" s="11">
        <f t="shared" si="19"/>
        <v>12445</v>
      </c>
      <c r="X178" s="12"/>
      <c r="Y178" s="11"/>
    </row>
    <row r="179" spans="1:25">
      <c r="A179" s="9">
        <f t="shared" si="14"/>
        <v>173</v>
      </c>
      <c r="B179" s="1" t="s">
        <v>496</v>
      </c>
      <c r="C179" s="1" t="s">
        <v>497</v>
      </c>
      <c r="D179" s="10" t="s">
        <v>498</v>
      </c>
      <c r="E179" s="11">
        <v>6674</v>
      </c>
      <c r="F179" s="11">
        <v>2669</v>
      </c>
      <c r="G179" s="11">
        <v>0</v>
      </c>
      <c r="H179" s="11">
        <v>4004</v>
      </c>
      <c r="I179" s="11">
        <f t="shared" si="15"/>
        <v>13347</v>
      </c>
      <c r="J179" s="1">
        <v>6674</v>
      </c>
      <c r="K179" s="1">
        <v>2669</v>
      </c>
      <c r="L179" s="1"/>
      <c r="M179" s="1">
        <v>4004</v>
      </c>
      <c r="N179" s="11">
        <f t="shared" si="16"/>
        <v>13347</v>
      </c>
      <c r="O179" s="1">
        <v>30</v>
      </c>
      <c r="P179" s="1">
        <v>0</v>
      </c>
      <c r="Q179" s="1">
        <f t="shared" si="17"/>
        <v>30</v>
      </c>
      <c r="R179" s="11">
        <v>0</v>
      </c>
      <c r="S179" s="11">
        <f t="shared" si="18"/>
        <v>13347</v>
      </c>
      <c r="T179" s="1">
        <v>801</v>
      </c>
      <c r="U179" s="1">
        <v>101</v>
      </c>
      <c r="V179" s="1">
        <v>0</v>
      </c>
      <c r="W179" s="11">
        <f t="shared" si="19"/>
        <v>12445</v>
      </c>
      <c r="X179" s="12"/>
      <c r="Y179" s="11"/>
    </row>
    <row r="180" spans="1:25">
      <c r="A180" s="9">
        <f t="shared" si="14"/>
        <v>174</v>
      </c>
      <c r="B180" s="1" t="s">
        <v>499</v>
      </c>
      <c r="C180" s="1" t="s">
        <v>500</v>
      </c>
      <c r="D180" s="10" t="s">
        <v>501</v>
      </c>
      <c r="E180" s="11">
        <v>6674</v>
      </c>
      <c r="F180" s="11">
        <v>2669</v>
      </c>
      <c r="G180" s="11">
        <v>0</v>
      </c>
      <c r="H180" s="11">
        <v>4004</v>
      </c>
      <c r="I180" s="11">
        <f t="shared" si="15"/>
        <v>13347</v>
      </c>
      <c r="J180" s="1">
        <v>6674</v>
      </c>
      <c r="K180" s="1">
        <v>2669</v>
      </c>
      <c r="L180" s="1"/>
      <c r="M180" s="1">
        <v>4004</v>
      </c>
      <c r="N180" s="11">
        <f t="shared" si="16"/>
        <v>13347</v>
      </c>
      <c r="O180" s="1">
        <v>30</v>
      </c>
      <c r="P180" s="1">
        <v>0</v>
      </c>
      <c r="Q180" s="1">
        <f t="shared" si="17"/>
        <v>30</v>
      </c>
      <c r="R180" s="11">
        <v>0</v>
      </c>
      <c r="S180" s="11">
        <f t="shared" si="18"/>
        <v>13347</v>
      </c>
      <c r="T180" s="1">
        <v>801</v>
      </c>
      <c r="U180" s="1">
        <v>101</v>
      </c>
      <c r="V180" s="1">
        <v>0</v>
      </c>
      <c r="W180" s="11">
        <f t="shared" si="19"/>
        <v>12445</v>
      </c>
      <c r="X180" s="12"/>
      <c r="Y180" s="11"/>
    </row>
    <row r="181" spans="1:25">
      <c r="A181" s="9">
        <f t="shared" si="14"/>
        <v>175</v>
      </c>
      <c r="B181" s="1" t="s">
        <v>502</v>
      </c>
      <c r="C181" s="1" t="s">
        <v>503</v>
      </c>
      <c r="D181" s="10" t="s">
        <v>501</v>
      </c>
      <c r="E181" s="11">
        <v>6674</v>
      </c>
      <c r="F181" s="11">
        <v>2669</v>
      </c>
      <c r="G181" s="11">
        <v>0</v>
      </c>
      <c r="H181" s="11">
        <v>4004</v>
      </c>
      <c r="I181" s="11">
        <f t="shared" si="15"/>
        <v>13347</v>
      </c>
      <c r="J181" s="1">
        <v>6674</v>
      </c>
      <c r="K181" s="1">
        <v>2669</v>
      </c>
      <c r="L181" s="1"/>
      <c r="M181" s="1">
        <v>4004</v>
      </c>
      <c r="N181" s="11">
        <f t="shared" si="16"/>
        <v>13347</v>
      </c>
      <c r="O181" s="1">
        <v>30</v>
      </c>
      <c r="P181" s="1">
        <v>0</v>
      </c>
      <c r="Q181" s="1">
        <f t="shared" si="17"/>
        <v>30</v>
      </c>
      <c r="R181" s="11">
        <v>0</v>
      </c>
      <c r="S181" s="11">
        <f t="shared" si="18"/>
        <v>13347</v>
      </c>
      <c r="T181" s="1">
        <v>801</v>
      </c>
      <c r="U181" s="1">
        <v>101</v>
      </c>
      <c r="V181" s="1">
        <v>0</v>
      </c>
      <c r="W181" s="11">
        <f t="shared" si="19"/>
        <v>12445</v>
      </c>
      <c r="X181" s="12"/>
      <c r="Y181" s="11"/>
    </row>
    <row r="182" spans="1:25">
      <c r="A182" s="9">
        <f t="shared" si="14"/>
        <v>176</v>
      </c>
      <c r="B182" s="1" t="s">
        <v>504</v>
      </c>
      <c r="C182" s="1" t="s">
        <v>505</v>
      </c>
      <c r="D182" s="10" t="s">
        <v>506</v>
      </c>
      <c r="E182" s="11">
        <v>6674</v>
      </c>
      <c r="F182" s="11">
        <v>2669</v>
      </c>
      <c r="G182" s="11">
        <v>0</v>
      </c>
      <c r="H182" s="11">
        <v>4004</v>
      </c>
      <c r="I182" s="11">
        <f t="shared" si="15"/>
        <v>13347</v>
      </c>
      <c r="J182" s="1">
        <v>6674</v>
      </c>
      <c r="K182" s="1">
        <v>2669</v>
      </c>
      <c r="L182" s="1"/>
      <c r="M182" s="1">
        <v>4004</v>
      </c>
      <c r="N182" s="11">
        <f t="shared" si="16"/>
        <v>13347</v>
      </c>
      <c r="O182" s="1">
        <v>30</v>
      </c>
      <c r="P182" s="1">
        <v>0</v>
      </c>
      <c r="Q182" s="1">
        <f t="shared" si="17"/>
        <v>30</v>
      </c>
      <c r="R182" s="11">
        <v>0</v>
      </c>
      <c r="S182" s="11">
        <f t="shared" si="18"/>
        <v>13347</v>
      </c>
      <c r="T182" s="1">
        <v>801</v>
      </c>
      <c r="U182" s="1">
        <v>101</v>
      </c>
      <c r="V182" s="1">
        <v>0</v>
      </c>
      <c r="W182" s="11">
        <f t="shared" si="19"/>
        <v>12445</v>
      </c>
      <c r="X182" s="12"/>
      <c r="Y182" s="11"/>
    </row>
    <row r="183" spans="1:25">
      <c r="A183" s="9">
        <f t="shared" si="14"/>
        <v>177</v>
      </c>
      <c r="B183" s="1" t="s">
        <v>507</v>
      </c>
      <c r="C183" s="1" t="s">
        <v>508</v>
      </c>
      <c r="D183" s="10" t="s">
        <v>509</v>
      </c>
      <c r="E183" s="11">
        <v>6674</v>
      </c>
      <c r="F183" s="11">
        <v>2669</v>
      </c>
      <c r="G183" s="11">
        <v>0</v>
      </c>
      <c r="H183" s="11">
        <v>4004</v>
      </c>
      <c r="I183" s="11">
        <f t="shared" si="15"/>
        <v>13347</v>
      </c>
      <c r="J183" s="1">
        <v>6674</v>
      </c>
      <c r="K183" s="1">
        <v>2669</v>
      </c>
      <c r="L183" s="1"/>
      <c r="M183" s="1">
        <v>4004</v>
      </c>
      <c r="N183" s="11">
        <f t="shared" si="16"/>
        <v>13347</v>
      </c>
      <c r="O183" s="1">
        <v>30</v>
      </c>
      <c r="P183" s="1">
        <v>0</v>
      </c>
      <c r="Q183" s="1">
        <f t="shared" si="17"/>
        <v>30</v>
      </c>
      <c r="R183" s="11">
        <v>0</v>
      </c>
      <c r="S183" s="11">
        <f t="shared" si="18"/>
        <v>13347</v>
      </c>
      <c r="T183" s="1">
        <v>801</v>
      </c>
      <c r="U183" s="1">
        <v>101</v>
      </c>
      <c r="V183" s="1">
        <v>0</v>
      </c>
      <c r="W183" s="11">
        <f t="shared" si="19"/>
        <v>12445</v>
      </c>
      <c r="X183" s="12"/>
      <c r="Y183" s="11"/>
    </row>
    <row r="184" spans="1:25">
      <c r="A184" s="9">
        <f t="shared" si="14"/>
        <v>178</v>
      </c>
      <c r="B184" s="1" t="s">
        <v>510</v>
      </c>
      <c r="C184" s="1" t="s">
        <v>511</v>
      </c>
      <c r="D184" s="10" t="s">
        <v>509</v>
      </c>
      <c r="E184" s="11">
        <v>6674</v>
      </c>
      <c r="F184" s="11">
        <v>2669</v>
      </c>
      <c r="G184" s="11">
        <v>0</v>
      </c>
      <c r="H184" s="11">
        <v>4004</v>
      </c>
      <c r="I184" s="11">
        <f t="shared" si="15"/>
        <v>13347</v>
      </c>
      <c r="J184" s="1">
        <v>6674</v>
      </c>
      <c r="K184" s="1">
        <v>2669</v>
      </c>
      <c r="L184" s="1"/>
      <c r="M184" s="1">
        <v>4004</v>
      </c>
      <c r="N184" s="11">
        <f t="shared" si="16"/>
        <v>13347</v>
      </c>
      <c r="O184" s="1">
        <v>30</v>
      </c>
      <c r="P184" s="1">
        <v>0</v>
      </c>
      <c r="Q184" s="1">
        <f t="shared" si="17"/>
        <v>30</v>
      </c>
      <c r="R184" s="11">
        <v>0</v>
      </c>
      <c r="S184" s="11">
        <f t="shared" si="18"/>
        <v>13347</v>
      </c>
      <c r="T184" s="1">
        <v>801</v>
      </c>
      <c r="U184" s="1">
        <v>101</v>
      </c>
      <c r="V184" s="1">
        <v>0</v>
      </c>
      <c r="W184" s="11">
        <f t="shared" si="19"/>
        <v>12445</v>
      </c>
      <c r="X184" s="12"/>
      <c r="Y184" s="11"/>
    </row>
    <row r="185" spans="1:25">
      <c r="A185" s="9">
        <f t="shared" si="14"/>
        <v>179</v>
      </c>
      <c r="B185" s="1" t="s">
        <v>512</v>
      </c>
      <c r="C185" s="1" t="s">
        <v>513</v>
      </c>
      <c r="D185" s="10" t="s">
        <v>514</v>
      </c>
      <c r="E185" s="11">
        <v>6674</v>
      </c>
      <c r="F185" s="11">
        <v>2669</v>
      </c>
      <c r="G185" s="11">
        <v>0</v>
      </c>
      <c r="H185" s="11">
        <v>4004</v>
      </c>
      <c r="I185" s="11">
        <f t="shared" si="15"/>
        <v>13347</v>
      </c>
      <c r="J185" s="1">
        <v>6674</v>
      </c>
      <c r="K185" s="1">
        <v>2669</v>
      </c>
      <c r="L185" s="1"/>
      <c r="M185" s="1">
        <v>4004</v>
      </c>
      <c r="N185" s="11">
        <f t="shared" si="16"/>
        <v>13347</v>
      </c>
      <c r="O185" s="1">
        <v>30</v>
      </c>
      <c r="P185" s="1">
        <v>0</v>
      </c>
      <c r="Q185" s="1">
        <f t="shared" si="17"/>
        <v>30</v>
      </c>
      <c r="R185" s="11">
        <v>0</v>
      </c>
      <c r="S185" s="11">
        <f t="shared" si="18"/>
        <v>13347</v>
      </c>
      <c r="T185" s="1">
        <v>801</v>
      </c>
      <c r="U185" s="1">
        <v>101</v>
      </c>
      <c r="V185" s="1">
        <v>0</v>
      </c>
      <c r="W185" s="11">
        <f t="shared" si="19"/>
        <v>12445</v>
      </c>
      <c r="X185" s="12"/>
      <c r="Y185" s="11"/>
    </row>
    <row r="186" spans="1:25">
      <c r="A186" s="9">
        <f t="shared" si="14"/>
        <v>180</v>
      </c>
      <c r="B186" s="1" t="s">
        <v>515</v>
      </c>
      <c r="C186" s="1" t="s">
        <v>516</v>
      </c>
      <c r="D186" s="10" t="s">
        <v>514</v>
      </c>
      <c r="E186" s="11">
        <v>6674</v>
      </c>
      <c r="F186" s="11">
        <v>2669</v>
      </c>
      <c r="G186" s="11">
        <v>0</v>
      </c>
      <c r="H186" s="11">
        <v>4004</v>
      </c>
      <c r="I186" s="11">
        <f t="shared" si="15"/>
        <v>13347</v>
      </c>
      <c r="J186" s="1">
        <v>6674</v>
      </c>
      <c r="K186" s="1">
        <v>2669</v>
      </c>
      <c r="L186" s="1"/>
      <c r="M186" s="1">
        <v>4004</v>
      </c>
      <c r="N186" s="11">
        <f t="shared" si="16"/>
        <v>13347</v>
      </c>
      <c r="O186" s="1">
        <v>30</v>
      </c>
      <c r="P186" s="1">
        <v>0</v>
      </c>
      <c r="Q186" s="1">
        <f t="shared" si="17"/>
        <v>30</v>
      </c>
      <c r="R186" s="11">
        <v>0</v>
      </c>
      <c r="S186" s="11">
        <f t="shared" si="18"/>
        <v>13347</v>
      </c>
      <c r="T186" s="1">
        <v>801</v>
      </c>
      <c r="U186" s="1">
        <v>101</v>
      </c>
      <c r="V186" s="1">
        <v>0</v>
      </c>
      <c r="W186" s="11">
        <f t="shared" si="19"/>
        <v>12445</v>
      </c>
      <c r="X186" s="12"/>
      <c r="Y186" s="11"/>
    </row>
    <row r="187" spans="1:25">
      <c r="A187" s="9">
        <f t="shared" si="14"/>
        <v>181</v>
      </c>
      <c r="B187" s="1" t="s">
        <v>517</v>
      </c>
      <c r="C187" s="1" t="s">
        <v>518</v>
      </c>
      <c r="D187" s="10" t="s">
        <v>514</v>
      </c>
      <c r="E187" s="11">
        <v>6674</v>
      </c>
      <c r="F187" s="11">
        <v>2669</v>
      </c>
      <c r="G187" s="11">
        <v>0</v>
      </c>
      <c r="H187" s="11">
        <v>4004</v>
      </c>
      <c r="I187" s="11">
        <f t="shared" si="15"/>
        <v>13347</v>
      </c>
      <c r="J187" s="1">
        <v>6674</v>
      </c>
      <c r="K187" s="1">
        <v>2669</v>
      </c>
      <c r="L187" s="1"/>
      <c r="M187" s="1">
        <v>4004</v>
      </c>
      <c r="N187" s="11">
        <f t="shared" si="16"/>
        <v>13347</v>
      </c>
      <c r="O187" s="1">
        <v>30</v>
      </c>
      <c r="P187" s="1">
        <v>0</v>
      </c>
      <c r="Q187" s="1">
        <f t="shared" si="17"/>
        <v>30</v>
      </c>
      <c r="R187" s="11">
        <v>0</v>
      </c>
      <c r="S187" s="11">
        <f t="shared" si="18"/>
        <v>13347</v>
      </c>
      <c r="T187" s="1">
        <v>801</v>
      </c>
      <c r="U187" s="1">
        <v>101</v>
      </c>
      <c r="V187" s="1">
        <v>0</v>
      </c>
      <c r="W187" s="11">
        <f t="shared" si="19"/>
        <v>12445</v>
      </c>
      <c r="X187" s="12"/>
      <c r="Y187" s="11"/>
    </row>
    <row r="188" spans="1:25">
      <c r="A188" s="9">
        <f t="shared" si="14"/>
        <v>182</v>
      </c>
      <c r="B188" s="1" t="s">
        <v>519</v>
      </c>
      <c r="C188" s="1" t="s">
        <v>520</v>
      </c>
      <c r="D188" s="10" t="s">
        <v>514</v>
      </c>
      <c r="E188" s="11">
        <v>6674</v>
      </c>
      <c r="F188" s="11">
        <v>2669</v>
      </c>
      <c r="G188" s="11">
        <v>0</v>
      </c>
      <c r="H188" s="11">
        <v>4004</v>
      </c>
      <c r="I188" s="11">
        <f t="shared" si="15"/>
        <v>13347</v>
      </c>
      <c r="J188" s="1">
        <v>6674</v>
      </c>
      <c r="K188" s="1">
        <v>2669</v>
      </c>
      <c r="L188" s="1"/>
      <c r="M188" s="1">
        <v>4004</v>
      </c>
      <c r="N188" s="11">
        <f t="shared" si="16"/>
        <v>13347</v>
      </c>
      <c r="O188" s="1">
        <v>30</v>
      </c>
      <c r="P188" s="1">
        <v>0</v>
      </c>
      <c r="Q188" s="1">
        <f t="shared" si="17"/>
        <v>30</v>
      </c>
      <c r="R188" s="11">
        <v>0</v>
      </c>
      <c r="S188" s="11">
        <f t="shared" si="18"/>
        <v>13347</v>
      </c>
      <c r="T188" s="1">
        <v>801</v>
      </c>
      <c r="U188" s="1">
        <v>101</v>
      </c>
      <c r="V188" s="1">
        <v>0</v>
      </c>
      <c r="W188" s="11">
        <f t="shared" si="19"/>
        <v>12445</v>
      </c>
      <c r="X188" s="12"/>
      <c r="Y188" s="11"/>
    </row>
    <row r="189" spans="1:25">
      <c r="A189" s="9">
        <f t="shared" si="14"/>
        <v>183</v>
      </c>
      <c r="B189" s="1" t="s">
        <v>521</v>
      </c>
      <c r="C189" s="1" t="s">
        <v>522</v>
      </c>
      <c r="D189" s="10" t="s">
        <v>514</v>
      </c>
      <c r="E189" s="11">
        <v>6674</v>
      </c>
      <c r="F189" s="11">
        <v>2669</v>
      </c>
      <c r="G189" s="11">
        <v>0</v>
      </c>
      <c r="H189" s="11">
        <v>4004</v>
      </c>
      <c r="I189" s="11">
        <f t="shared" si="15"/>
        <v>13347</v>
      </c>
      <c r="J189" s="1">
        <v>6674</v>
      </c>
      <c r="K189" s="1">
        <v>2669</v>
      </c>
      <c r="L189" s="1"/>
      <c r="M189" s="1">
        <v>4004</v>
      </c>
      <c r="N189" s="11">
        <f t="shared" si="16"/>
        <v>13347</v>
      </c>
      <c r="O189" s="1">
        <v>30</v>
      </c>
      <c r="P189" s="1">
        <v>0</v>
      </c>
      <c r="Q189" s="1">
        <f t="shared" si="17"/>
        <v>30</v>
      </c>
      <c r="R189" s="11">
        <v>0</v>
      </c>
      <c r="S189" s="11">
        <f t="shared" si="18"/>
        <v>13347</v>
      </c>
      <c r="T189" s="1">
        <v>801</v>
      </c>
      <c r="U189" s="1">
        <v>101</v>
      </c>
      <c r="V189" s="1">
        <v>0</v>
      </c>
      <c r="W189" s="11">
        <f t="shared" si="19"/>
        <v>12445</v>
      </c>
      <c r="X189" s="12"/>
      <c r="Y189" s="11"/>
    </row>
    <row r="190" spans="1:25">
      <c r="A190" s="9">
        <f t="shared" si="14"/>
        <v>184</v>
      </c>
      <c r="B190" s="1" t="s">
        <v>523</v>
      </c>
      <c r="C190" s="1" t="s">
        <v>524</v>
      </c>
      <c r="D190" s="10" t="s">
        <v>525</v>
      </c>
      <c r="E190" s="11">
        <v>6674</v>
      </c>
      <c r="F190" s="11">
        <v>2669</v>
      </c>
      <c r="G190" s="11">
        <v>0</v>
      </c>
      <c r="H190" s="11">
        <v>4004</v>
      </c>
      <c r="I190" s="11">
        <f t="shared" si="15"/>
        <v>13347</v>
      </c>
      <c r="J190" s="1">
        <v>6674</v>
      </c>
      <c r="K190" s="1">
        <v>2669</v>
      </c>
      <c r="L190" s="1"/>
      <c r="M190" s="1">
        <v>4004</v>
      </c>
      <c r="N190" s="11">
        <f t="shared" si="16"/>
        <v>13347</v>
      </c>
      <c r="O190" s="1">
        <v>30</v>
      </c>
      <c r="P190" s="1">
        <v>0</v>
      </c>
      <c r="Q190" s="1">
        <f t="shared" si="17"/>
        <v>30</v>
      </c>
      <c r="R190" s="11">
        <v>0</v>
      </c>
      <c r="S190" s="11">
        <f t="shared" si="18"/>
        <v>13347</v>
      </c>
      <c r="T190" s="1">
        <v>801</v>
      </c>
      <c r="U190" s="1">
        <v>101</v>
      </c>
      <c r="V190" s="1">
        <v>0</v>
      </c>
      <c r="W190" s="11">
        <f t="shared" si="19"/>
        <v>12445</v>
      </c>
      <c r="X190" s="12"/>
      <c r="Y190" s="11"/>
    </row>
    <row r="191" spans="1:25">
      <c r="A191" s="9">
        <f t="shared" ref="A191:A199" si="20">+A190+1</f>
        <v>185</v>
      </c>
      <c r="B191" s="1" t="s">
        <v>526</v>
      </c>
      <c r="C191" s="1" t="s">
        <v>527</v>
      </c>
      <c r="D191" s="10" t="s">
        <v>525</v>
      </c>
      <c r="E191" s="11">
        <v>6674</v>
      </c>
      <c r="F191" s="11">
        <v>2669</v>
      </c>
      <c r="G191" s="11">
        <v>0</v>
      </c>
      <c r="H191" s="11">
        <v>4004</v>
      </c>
      <c r="I191" s="11">
        <f t="shared" si="15"/>
        <v>13347</v>
      </c>
      <c r="J191" s="1">
        <v>6674</v>
      </c>
      <c r="K191" s="1">
        <v>2669</v>
      </c>
      <c r="L191" s="1"/>
      <c r="M191" s="1">
        <v>4004</v>
      </c>
      <c r="N191" s="11">
        <f t="shared" si="16"/>
        <v>13347</v>
      </c>
      <c r="O191" s="1">
        <v>30</v>
      </c>
      <c r="P191" s="1">
        <v>0</v>
      </c>
      <c r="Q191" s="1">
        <f t="shared" si="17"/>
        <v>30</v>
      </c>
      <c r="R191" s="11">
        <v>0</v>
      </c>
      <c r="S191" s="11">
        <f t="shared" si="18"/>
        <v>13347</v>
      </c>
      <c r="T191" s="1">
        <v>801</v>
      </c>
      <c r="U191" s="1">
        <v>101</v>
      </c>
      <c r="V191" s="1">
        <v>0</v>
      </c>
      <c r="W191" s="11">
        <f t="shared" si="19"/>
        <v>12445</v>
      </c>
      <c r="X191" s="12"/>
      <c r="Y191" s="11"/>
    </row>
    <row r="192" spans="1:25">
      <c r="A192" s="9">
        <f t="shared" si="20"/>
        <v>186</v>
      </c>
      <c r="B192" s="1" t="s">
        <v>528</v>
      </c>
      <c r="C192" s="1" t="s">
        <v>529</v>
      </c>
      <c r="D192" s="10" t="s">
        <v>530</v>
      </c>
      <c r="E192" s="11">
        <v>6674</v>
      </c>
      <c r="F192" s="11">
        <v>2669</v>
      </c>
      <c r="G192" s="11">
        <v>0</v>
      </c>
      <c r="H192" s="11">
        <v>4004</v>
      </c>
      <c r="I192" s="11">
        <f t="shared" si="15"/>
        <v>13347</v>
      </c>
      <c r="J192" s="1">
        <v>6674</v>
      </c>
      <c r="K192" s="1">
        <v>2669</v>
      </c>
      <c r="L192" s="1"/>
      <c r="M192" s="1">
        <v>4004</v>
      </c>
      <c r="N192" s="11">
        <f t="shared" si="16"/>
        <v>13347</v>
      </c>
      <c r="O192" s="1">
        <v>30</v>
      </c>
      <c r="P192" s="1">
        <v>0</v>
      </c>
      <c r="Q192" s="1">
        <f t="shared" si="17"/>
        <v>30</v>
      </c>
      <c r="R192" s="11">
        <v>0</v>
      </c>
      <c r="S192" s="11">
        <f t="shared" si="18"/>
        <v>13347</v>
      </c>
      <c r="T192" s="1">
        <v>801</v>
      </c>
      <c r="U192" s="1">
        <v>101</v>
      </c>
      <c r="V192" s="1">
        <v>0</v>
      </c>
      <c r="W192" s="11">
        <f t="shared" si="19"/>
        <v>12445</v>
      </c>
      <c r="X192" s="12"/>
      <c r="Y192" s="11"/>
    </row>
    <row r="193" spans="1:25">
      <c r="A193" s="9">
        <f t="shared" si="20"/>
        <v>187</v>
      </c>
      <c r="B193" s="1" t="s">
        <v>531</v>
      </c>
      <c r="C193" s="1" t="s">
        <v>532</v>
      </c>
      <c r="D193" s="10" t="s">
        <v>533</v>
      </c>
      <c r="E193" s="11">
        <v>6674</v>
      </c>
      <c r="F193" s="11">
        <v>2669</v>
      </c>
      <c r="G193" s="11">
        <v>0</v>
      </c>
      <c r="H193" s="11">
        <v>4004</v>
      </c>
      <c r="I193" s="11">
        <f t="shared" si="15"/>
        <v>13347</v>
      </c>
      <c r="J193" s="1">
        <v>6674</v>
      </c>
      <c r="K193" s="1">
        <v>2669</v>
      </c>
      <c r="L193" s="1"/>
      <c r="M193" s="1">
        <v>4004</v>
      </c>
      <c r="N193" s="11">
        <f t="shared" si="16"/>
        <v>13347</v>
      </c>
      <c r="O193" s="1">
        <v>30</v>
      </c>
      <c r="P193" s="1">
        <v>0</v>
      </c>
      <c r="Q193" s="1">
        <f t="shared" si="17"/>
        <v>30</v>
      </c>
      <c r="R193" s="11">
        <v>0</v>
      </c>
      <c r="S193" s="11">
        <f t="shared" si="18"/>
        <v>13347</v>
      </c>
      <c r="T193" s="1">
        <v>801</v>
      </c>
      <c r="U193" s="1">
        <v>101</v>
      </c>
      <c r="V193" s="1">
        <v>0</v>
      </c>
      <c r="W193" s="11">
        <f t="shared" si="19"/>
        <v>12445</v>
      </c>
      <c r="X193" s="12"/>
      <c r="Y193" s="11"/>
    </row>
    <row r="194" spans="1:25">
      <c r="A194" s="9">
        <f t="shared" si="20"/>
        <v>188</v>
      </c>
      <c r="B194" s="1" t="s">
        <v>534</v>
      </c>
      <c r="C194" s="1" t="s">
        <v>535</v>
      </c>
      <c r="D194" s="10" t="s">
        <v>536</v>
      </c>
      <c r="E194" s="11">
        <v>6674</v>
      </c>
      <c r="F194" s="11">
        <v>2669</v>
      </c>
      <c r="G194" s="11">
        <v>0</v>
      </c>
      <c r="H194" s="11">
        <v>4004</v>
      </c>
      <c r="I194" s="11">
        <f t="shared" si="15"/>
        <v>13347</v>
      </c>
      <c r="J194" s="1">
        <v>6674</v>
      </c>
      <c r="K194" s="1">
        <v>2669</v>
      </c>
      <c r="L194" s="1"/>
      <c r="M194" s="1">
        <v>4004</v>
      </c>
      <c r="N194" s="11">
        <f t="shared" si="16"/>
        <v>13347</v>
      </c>
      <c r="O194" s="1">
        <v>30</v>
      </c>
      <c r="P194" s="1">
        <v>0</v>
      </c>
      <c r="Q194" s="1">
        <f t="shared" si="17"/>
        <v>30</v>
      </c>
      <c r="R194" s="11">
        <v>0</v>
      </c>
      <c r="S194" s="11">
        <f t="shared" si="18"/>
        <v>13347</v>
      </c>
      <c r="T194" s="1">
        <v>801</v>
      </c>
      <c r="U194" s="1">
        <v>101</v>
      </c>
      <c r="V194" s="1">
        <v>0</v>
      </c>
      <c r="W194" s="11">
        <f t="shared" si="19"/>
        <v>12445</v>
      </c>
      <c r="X194" s="12"/>
      <c r="Y194" s="11"/>
    </row>
    <row r="195" spans="1:25" customFormat="1">
      <c r="A195" s="9">
        <f t="shared" si="20"/>
        <v>189</v>
      </c>
      <c r="B195" s="1" t="s">
        <v>537</v>
      </c>
      <c r="C195" s="1" t="s">
        <v>538</v>
      </c>
      <c r="D195" s="10" t="s">
        <v>539</v>
      </c>
      <c r="E195" s="11">
        <v>6674</v>
      </c>
      <c r="F195" s="11">
        <v>2669</v>
      </c>
      <c r="G195" s="11">
        <v>0</v>
      </c>
      <c r="H195" s="11">
        <v>4004</v>
      </c>
      <c r="I195" s="11">
        <f t="shared" si="15"/>
        <v>13347</v>
      </c>
      <c r="J195" s="1">
        <v>6674</v>
      </c>
      <c r="K195" s="1">
        <v>2669</v>
      </c>
      <c r="L195" s="1"/>
      <c r="M195" s="1">
        <v>4004</v>
      </c>
      <c r="N195" s="11">
        <f t="shared" si="16"/>
        <v>13347</v>
      </c>
      <c r="O195" s="1">
        <v>30</v>
      </c>
      <c r="P195" s="1">
        <v>0</v>
      </c>
      <c r="Q195" s="1">
        <f t="shared" si="17"/>
        <v>30</v>
      </c>
      <c r="R195" s="11">
        <v>0</v>
      </c>
      <c r="S195" s="11">
        <f t="shared" si="18"/>
        <v>13347</v>
      </c>
      <c r="T195" s="1">
        <v>801</v>
      </c>
      <c r="U195" s="1">
        <v>101</v>
      </c>
      <c r="V195" s="1">
        <v>0</v>
      </c>
      <c r="W195" s="11">
        <f t="shared" si="19"/>
        <v>12445</v>
      </c>
      <c r="X195" s="12"/>
      <c r="Y195" s="11"/>
    </row>
    <row r="196" spans="1:25" customFormat="1">
      <c r="A196" s="9">
        <f t="shared" si="20"/>
        <v>190</v>
      </c>
      <c r="B196" s="1" t="s">
        <v>540</v>
      </c>
      <c r="C196" s="1" t="s">
        <v>541</v>
      </c>
      <c r="D196" s="13" t="s">
        <v>542</v>
      </c>
      <c r="E196" s="11">
        <v>6674</v>
      </c>
      <c r="F196" s="11">
        <v>2669</v>
      </c>
      <c r="G196" s="11">
        <v>0</v>
      </c>
      <c r="H196" s="11">
        <v>4004</v>
      </c>
      <c r="I196" s="11">
        <f t="shared" ref="I136:I199" si="21">SUM(E196:H196)</f>
        <v>13347</v>
      </c>
      <c r="J196" s="1">
        <v>6674</v>
      </c>
      <c r="K196" s="1">
        <v>2669</v>
      </c>
      <c r="L196" s="1"/>
      <c r="M196" s="1">
        <v>4004</v>
      </c>
      <c r="N196" s="11">
        <f t="shared" ref="N167:N198" si="22">+SUM(J196:M196)</f>
        <v>13347</v>
      </c>
      <c r="O196" s="1">
        <v>30</v>
      </c>
      <c r="P196" s="1">
        <v>0</v>
      </c>
      <c r="Q196" s="1">
        <f t="shared" ref="Q167:Q198" si="23">O196-P196</f>
        <v>30</v>
      </c>
      <c r="R196" s="11">
        <v>0</v>
      </c>
      <c r="S196" s="11">
        <f t="shared" ref="S167:S198" si="24">+N196+R196</f>
        <v>13347</v>
      </c>
      <c r="T196" s="1">
        <v>801</v>
      </c>
      <c r="U196" s="1">
        <v>101</v>
      </c>
      <c r="V196" s="1">
        <v>0</v>
      </c>
      <c r="W196" s="11">
        <f t="shared" ref="W167:W198" si="25">+S196-SUM(T196:V196)</f>
        <v>12445</v>
      </c>
      <c r="X196" s="12"/>
      <c r="Y196" s="11"/>
    </row>
    <row r="197" spans="1:25" customFormat="1">
      <c r="A197" s="9">
        <f t="shared" si="20"/>
        <v>191</v>
      </c>
      <c r="B197" s="1" t="s">
        <v>543</v>
      </c>
      <c r="C197" s="1" t="s">
        <v>544</v>
      </c>
      <c r="D197" s="13" t="s">
        <v>545</v>
      </c>
      <c r="E197" s="11">
        <v>6674</v>
      </c>
      <c r="F197" s="11">
        <v>2669</v>
      </c>
      <c r="G197" s="11">
        <v>0</v>
      </c>
      <c r="H197" s="11">
        <v>4004</v>
      </c>
      <c r="I197" s="11">
        <f t="shared" ref="I197:I199" si="26">SUM(E197:H197)</f>
        <v>13347</v>
      </c>
      <c r="J197" s="1">
        <v>6674</v>
      </c>
      <c r="K197" s="1">
        <v>2669</v>
      </c>
      <c r="L197" s="1"/>
      <c r="M197" s="1">
        <v>4004</v>
      </c>
      <c r="N197" s="11">
        <f t="shared" ref="N197:N199" si="27">+SUM(J197:M197)</f>
        <v>13347</v>
      </c>
      <c r="O197" s="1">
        <v>30</v>
      </c>
      <c r="P197" s="1">
        <v>0</v>
      </c>
      <c r="Q197" s="1">
        <f t="shared" ref="Q197:Q199" si="28">O197-P197</f>
        <v>30</v>
      </c>
      <c r="R197" s="11">
        <v>0</v>
      </c>
      <c r="S197" s="11">
        <f t="shared" ref="S197:S199" si="29">+N197+R197</f>
        <v>13347</v>
      </c>
      <c r="T197" s="1">
        <v>801</v>
      </c>
      <c r="U197" s="1">
        <v>101</v>
      </c>
      <c r="V197" s="1">
        <v>0</v>
      </c>
      <c r="W197" s="11">
        <f t="shared" ref="W197:W199" si="30">+S197-SUM(T197:V197)</f>
        <v>12445</v>
      </c>
      <c r="X197" s="12"/>
      <c r="Y197" s="11"/>
    </row>
    <row r="198" spans="1:25" customFormat="1">
      <c r="A198" s="9">
        <f t="shared" si="20"/>
        <v>192</v>
      </c>
      <c r="B198" s="1" t="s">
        <v>546</v>
      </c>
      <c r="C198" s="1" t="s">
        <v>547</v>
      </c>
      <c r="D198" s="13" t="s">
        <v>576</v>
      </c>
      <c r="E198" s="11">
        <v>6674</v>
      </c>
      <c r="F198" s="11">
        <v>2669</v>
      </c>
      <c r="G198" s="11">
        <v>0</v>
      </c>
      <c r="H198" s="11">
        <v>4004</v>
      </c>
      <c r="I198" s="11">
        <f t="shared" si="26"/>
        <v>13347</v>
      </c>
      <c r="J198" s="1">
        <v>6674</v>
      </c>
      <c r="K198" s="1">
        <v>2669</v>
      </c>
      <c r="L198" s="1"/>
      <c r="M198" s="1">
        <v>4004</v>
      </c>
      <c r="N198" s="11">
        <f t="shared" si="27"/>
        <v>13347</v>
      </c>
      <c r="O198" s="1">
        <v>30</v>
      </c>
      <c r="P198" s="1">
        <v>0</v>
      </c>
      <c r="Q198" s="1">
        <f t="shared" si="28"/>
        <v>30</v>
      </c>
      <c r="R198" s="11">
        <v>0</v>
      </c>
      <c r="S198" s="11">
        <f t="shared" si="29"/>
        <v>13347</v>
      </c>
      <c r="T198" s="1">
        <v>801</v>
      </c>
      <c r="U198" s="1">
        <v>101</v>
      </c>
      <c r="V198" s="1">
        <v>0</v>
      </c>
      <c r="W198" s="11">
        <f t="shared" si="30"/>
        <v>12445</v>
      </c>
      <c r="X198" s="12"/>
      <c r="Y198" s="11"/>
    </row>
    <row r="199" spans="1:25" customFormat="1">
      <c r="A199" s="9">
        <f t="shared" si="20"/>
        <v>193</v>
      </c>
      <c r="B199" s="1" t="s">
        <v>558</v>
      </c>
      <c r="C199" s="1" t="s">
        <v>557</v>
      </c>
      <c r="D199" s="13" t="s">
        <v>559</v>
      </c>
      <c r="E199" s="11">
        <v>6674</v>
      </c>
      <c r="F199" s="11">
        <v>2669</v>
      </c>
      <c r="G199" s="11">
        <v>0</v>
      </c>
      <c r="H199" s="11">
        <v>4004</v>
      </c>
      <c r="I199" s="11">
        <f t="shared" si="26"/>
        <v>13347</v>
      </c>
      <c r="J199" s="1">
        <v>6674</v>
      </c>
      <c r="K199" s="1">
        <v>2669</v>
      </c>
      <c r="L199" s="1"/>
      <c r="M199" s="1">
        <v>4004</v>
      </c>
      <c r="N199" s="11">
        <f t="shared" si="27"/>
        <v>13347</v>
      </c>
      <c r="O199" s="1">
        <v>30</v>
      </c>
      <c r="P199" s="1">
        <v>0</v>
      </c>
      <c r="Q199" s="1">
        <f t="shared" si="28"/>
        <v>30</v>
      </c>
      <c r="R199" s="11">
        <v>0</v>
      </c>
      <c r="S199" s="11">
        <f t="shared" si="29"/>
        <v>13347</v>
      </c>
      <c r="T199" s="1">
        <v>801</v>
      </c>
      <c r="U199" s="1">
        <v>101</v>
      </c>
      <c r="V199" s="1">
        <v>0</v>
      </c>
      <c r="W199" s="11">
        <f t="shared" si="30"/>
        <v>12445</v>
      </c>
      <c r="X199" s="11"/>
      <c r="Y199" s="12"/>
    </row>
    <row r="200" spans="1:25" s="6" customFormat="1">
      <c r="A200" s="3"/>
      <c r="B200" s="3" t="s">
        <v>548</v>
      </c>
      <c r="C200" s="3"/>
      <c r="D200" s="3"/>
      <c r="E200" s="4">
        <f t="shared" ref="E200:S200" si="31">SUM(E7:E199)</f>
        <v>1288082</v>
      </c>
      <c r="F200" s="4">
        <f t="shared" si="31"/>
        <v>515117</v>
      </c>
      <c r="G200" s="4">
        <f t="shared" si="31"/>
        <v>0</v>
      </c>
      <c r="H200" s="4">
        <f t="shared" si="31"/>
        <v>772772</v>
      </c>
      <c r="I200" s="4">
        <f t="shared" si="31"/>
        <v>2575971</v>
      </c>
      <c r="J200" s="4">
        <f t="shared" si="31"/>
        <v>1288082</v>
      </c>
      <c r="K200" s="4">
        <f t="shared" si="31"/>
        <v>515117</v>
      </c>
      <c r="L200" s="4">
        <f t="shared" si="31"/>
        <v>0</v>
      </c>
      <c r="M200" s="4">
        <f t="shared" si="31"/>
        <v>772772</v>
      </c>
      <c r="N200" s="4">
        <f t="shared" si="31"/>
        <v>2575971</v>
      </c>
      <c r="O200" s="4">
        <f t="shared" si="31"/>
        <v>5790</v>
      </c>
      <c r="P200" s="4">
        <f t="shared" si="31"/>
        <v>0</v>
      </c>
      <c r="Q200" s="4">
        <f t="shared" si="31"/>
        <v>5790</v>
      </c>
      <c r="R200" s="4">
        <f t="shared" si="31"/>
        <v>0</v>
      </c>
      <c r="S200" s="4">
        <f t="shared" si="31"/>
        <v>2575971</v>
      </c>
      <c r="T200" s="4">
        <f>SUM(T7:T199)</f>
        <v>154593</v>
      </c>
      <c r="U200" s="4">
        <f>SUM(U7:U199)</f>
        <v>19493</v>
      </c>
      <c r="V200" s="4">
        <f t="shared" ref="V200:Y200" si="32">SUM(V7:V199)</f>
        <v>0</v>
      </c>
      <c r="W200" s="4">
        <f t="shared" si="32"/>
        <v>2401885</v>
      </c>
      <c r="X200" s="4"/>
      <c r="Y200" s="4">
        <f t="shared" si="32"/>
        <v>0</v>
      </c>
    </row>
    <row r="201" spans="1:25">
      <c r="T201" s="5" t="s">
        <v>549</v>
      </c>
      <c r="U201" s="5" t="s">
        <v>549</v>
      </c>
    </row>
    <row r="202" spans="1:25">
      <c r="I202" s="5" t="s">
        <v>549</v>
      </c>
      <c r="U202" s="5" t="s">
        <v>549</v>
      </c>
      <c r="W202" s="5" t="s">
        <v>549</v>
      </c>
    </row>
    <row r="203" spans="1:25">
      <c r="E203" s="5" t="s">
        <v>549</v>
      </c>
      <c r="F203" s="5" t="s">
        <v>549</v>
      </c>
      <c r="I203" s="5" t="s">
        <v>549</v>
      </c>
      <c r="N203" s="5" t="s">
        <v>549</v>
      </c>
      <c r="P203" s="5" t="s">
        <v>549</v>
      </c>
      <c r="T203" s="5" t="s">
        <v>549</v>
      </c>
      <c r="U203" s="15" t="s">
        <v>549</v>
      </c>
      <c r="W203" s="5" t="s">
        <v>549</v>
      </c>
    </row>
    <row r="204" spans="1:25">
      <c r="E204" s="5" t="s">
        <v>549</v>
      </c>
      <c r="I204" s="5" t="s">
        <v>549</v>
      </c>
      <c r="P204" s="22" t="s">
        <v>549</v>
      </c>
      <c r="T204" s="15" t="s">
        <v>549</v>
      </c>
      <c r="W204" s="5" t="s">
        <v>549</v>
      </c>
    </row>
    <row r="205" spans="1:25">
      <c r="L205" s="14"/>
      <c r="M205" s="5">
        <f>M202+K203</f>
        <v>0</v>
      </c>
      <c r="P205" s="22" t="s">
        <v>549</v>
      </c>
      <c r="T205" s="5" t="s">
        <v>549</v>
      </c>
    </row>
    <row r="206" spans="1:25">
      <c r="L206" s="14"/>
    </row>
    <row r="207" spans="1:25">
      <c r="L207" s="14"/>
    </row>
    <row r="208" spans="1:25">
      <c r="N208" s="15"/>
    </row>
    <row r="209" spans="14:14">
      <c r="N209" s="16"/>
    </row>
    <row r="210" spans="14:14">
      <c r="N210" s="16"/>
    </row>
  </sheetData>
  <mergeCells count="18">
    <mergeCell ref="A1:B1"/>
    <mergeCell ref="A2:B2"/>
    <mergeCell ref="E5:I5"/>
    <mergeCell ref="A5:A6"/>
    <mergeCell ref="B5:B6"/>
    <mergeCell ref="C5:C6"/>
    <mergeCell ref="D5:D6"/>
    <mergeCell ref="Y5:Y6"/>
    <mergeCell ref="T5:V5"/>
    <mergeCell ref="P5:P6"/>
    <mergeCell ref="Q5:Q6"/>
    <mergeCell ref="R5:R6"/>
    <mergeCell ref="S5:S6"/>
    <mergeCell ref="J5:N5"/>
    <mergeCell ref="J2:K2"/>
    <mergeCell ref="O5:O6"/>
    <mergeCell ref="W5:W6"/>
    <mergeCell ref="X5:X6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6BA6C-7F72-442B-9705-3502A06AE9CD}">
  <dimension ref="A2:R196"/>
  <sheetViews>
    <sheetView workbookViewId="0">
      <pane xSplit="1" ySplit="2" topLeftCell="B51" activePane="bottomRight" state="frozen"/>
      <selection pane="topRight" activeCell="B1" sqref="B1"/>
      <selection pane="bottomLeft" activeCell="A3" sqref="A3"/>
      <selection pane="bottomRight" activeCell="F16" sqref="F16"/>
    </sheetView>
  </sheetViews>
  <sheetFormatPr defaultRowHeight="14.4"/>
  <sheetData>
    <row r="2" spans="1:18">
      <c r="B2" s="18" t="s">
        <v>562</v>
      </c>
      <c r="C2" s="18" t="s">
        <v>563</v>
      </c>
      <c r="D2" s="18" t="s">
        <v>564</v>
      </c>
      <c r="E2" s="18" t="s">
        <v>565</v>
      </c>
      <c r="F2" s="18" t="s">
        <v>566</v>
      </c>
      <c r="G2" s="18" t="s">
        <v>9</v>
      </c>
      <c r="H2" s="18" t="s">
        <v>567</v>
      </c>
      <c r="I2" s="18" t="s">
        <v>568</v>
      </c>
      <c r="J2" s="18" t="s">
        <v>18</v>
      </c>
      <c r="K2" s="18" t="s">
        <v>569</v>
      </c>
      <c r="L2" s="18" t="s">
        <v>570</v>
      </c>
      <c r="M2" s="18" t="s">
        <v>571</v>
      </c>
      <c r="N2" s="18" t="s">
        <v>22</v>
      </c>
      <c r="O2" s="18" t="s">
        <v>23</v>
      </c>
      <c r="P2" s="18" t="s">
        <v>572</v>
      </c>
      <c r="Q2" s="18" t="s">
        <v>573</v>
      </c>
      <c r="R2" s="18" t="s">
        <v>574</v>
      </c>
    </row>
    <row r="3" spans="1:18">
      <c r="A3" t="s">
        <v>26</v>
      </c>
      <c r="B3" t="s">
        <v>25</v>
      </c>
      <c r="C3" s="17" t="s">
        <v>27</v>
      </c>
      <c r="D3" t="s">
        <v>551</v>
      </c>
      <c r="E3" t="s">
        <v>552</v>
      </c>
      <c r="F3">
        <v>30</v>
      </c>
      <c r="G3">
        <v>0</v>
      </c>
      <c r="H3">
        <v>30</v>
      </c>
      <c r="I3">
        <v>21330</v>
      </c>
      <c r="J3">
        <v>8532</v>
      </c>
      <c r="K3">
        <v>9298</v>
      </c>
      <c r="L3">
        <v>3500</v>
      </c>
      <c r="M3">
        <v>42660</v>
      </c>
      <c r="N3">
        <v>2560</v>
      </c>
      <c r="O3">
        <v>0</v>
      </c>
      <c r="P3">
        <v>200</v>
      </c>
      <c r="Q3">
        <v>-2760</v>
      </c>
      <c r="R3">
        <v>39900</v>
      </c>
    </row>
    <row r="4" spans="1:18">
      <c r="A4" t="s">
        <v>29</v>
      </c>
      <c r="B4" t="s">
        <v>28</v>
      </c>
      <c r="C4" s="17" t="s">
        <v>27</v>
      </c>
      <c r="D4" t="s">
        <v>551</v>
      </c>
      <c r="E4" t="s">
        <v>552</v>
      </c>
      <c r="F4">
        <v>30</v>
      </c>
      <c r="G4">
        <v>2</v>
      </c>
      <c r="H4">
        <v>28</v>
      </c>
      <c r="I4">
        <v>20203</v>
      </c>
      <c r="J4">
        <v>8081</v>
      </c>
      <c r="K4">
        <v>8855</v>
      </c>
      <c r="L4">
        <v>3267</v>
      </c>
      <c r="M4">
        <v>40406</v>
      </c>
      <c r="N4">
        <v>2424</v>
      </c>
      <c r="O4">
        <v>0</v>
      </c>
      <c r="P4">
        <v>200</v>
      </c>
      <c r="Q4">
        <v>-2624</v>
      </c>
      <c r="R4">
        <v>37782</v>
      </c>
    </row>
    <row r="5" spans="1:18">
      <c r="A5" t="s">
        <v>31</v>
      </c>
      <c r="B5" t="s">
        <v>30</v>
      </c>
      <c r="C5" s="17" t="s">
        <v>32</v>
      </c>
      <c r="D5" t="s">
        <v>551</v>
      </c>
      <c r="E5" t="s">
        <v>552</v>
      </c>
      <c r="F5">
        <v>30</v>
      </c>
      <c r="G5">
        <v>0</v>
      </c>
      <c r="H5">
        <v>30</v>
      </c>
      <c r="I5">
        <v>18906</v>
      </c>
      <c r="J5">
        <v>7562</v>
      </c>
      <c r="K5">
        <v>7844</v>
      </c>
      <c r="L5">
        <v>3500</v>
      </c>
      <c r="M5">
        <v>37812</v>
      </c>
      <c r="N5">
        <v>2269</v>
      </c>
      <c r="O5">
        <v>0</v>
      </c>
      <c r="P5">
        <v>200</v>
      </c>
      <c r="Q5">
        <v>-2469</v>
      </c>
      <c r="R5">
        <v>35343</v>
      </c>
    </row>
    <row r="6" spans="1:18">
      <c r="A6" t="s">
        <v>34</v>
      </c>
      <c r="B6" t="s">
        <v>33</v>
      </c>
      <c r="C6" s="17" t="s">
        <v>35</v>
      </c>
      <c r="D6" t="s">
        <v>551</v>
      </c>
      <c r="E6" t="s">
        <v>552</v>
      </c>
      <c r="F6">
        <v>30</v>
      </c>
      <c r="G6">
        <v>0</v>
      </c>
      <c r="H6">
        <v>30</v>
      </c>
      <c r="I6">
        <v>33165</v>
      </c>
      <c r="J6">
        <v>13266</v>
      </c>
      <c r="K6">
        <v>15399</v>
      </c>
      <c r="L6">
        <v>4500</v>
      </c>
      <c r="M6">
        <v>66330</v>
      </c>
      <c r="N6">
        <v>3980</v>
      </c>
      <c r="O6">
        <v>0</v>
      </c>
      <c r="P6">
        <v>200</v>
      </c>
      <c r="Q6">
        <v>-4180</v>
      </c>
      <c r="R6">
        <v>62150</v>
      </c>
    </row>
    <row r="7" spans="1:18">
      <c r="A7" t="s">
        <v>37</v>
      </c>
      <c r="B7" t="s">
        <v>36</v>
      </c>
      <c r="C7" s="17" t="s">
        <v>35</v>
      </c>
      <c r="D7" t="s">
        <v>551</v>
      </c>
      <c r="E7" t="s">
        <v>552</v>
      </c>
      <c r="F7">
        <v>30</v>
      </c>
      <c r="G7">
        <v>0</v>
      </c>
      <c r="H7">
        <v>30</v>
      </c>
      <c r="I7">
        <v>30877</v>
      </c>
      <c r="J7">
        <v>12351</v>
      </c>
      <c r="K7">
        <v>14026</v>
      </c>
      <c r="L7">
        <v>4500</v>
      </c>
      <c r="M7">
        <v>61754</v>
      </c>
      <c r="N7">
        <v>3705</v>
      </c>
      <c r="O7">
        <v>0</v>
      </c>
      <c r="P7">
        <v>200</v>
      </c>
      <c r="Q7">
        <v>-3905</v>
      </c>
      <c r="R7">
        <v>57849</v>
      </c>
    </row>
    <row r="8" spans="1:18">
      <c r="A8" t="s">
        <v>39</v>
      </c>
      <c r="B8" t="s">
        <v>38</v>
      </c>
      <c r="C8" s="17" t="s">
        <v>35</v>
      </c>
      <c r="D8" t="s">
        <v>551</v>
      </c>
      <c r="E8" t="s">
        <v>552</v>
      </c>
      <c r="F8">
        <v>30</v>
      </c>
      <c r="G8">
        <v>0</v>
      </c>
      <c r="H8">
        <v>30</v>
      </c>
      <c r="I8">
        <v>22121</v>
      </c>
      <c r="J8">
        <v>8848</v>
      </c>
      <c r="K8">
        <v>9772</v>
      </c>
      <c r="L8">
        <v>3500</v>
      </c>
      <c r="M8">
        <v>44241</v>
      </c>
      <c r="N8">
        <v>2655</v>
      </c>
      <c r="O8">
        <v>0</v>
      </c>
      <c r="P8">
        <v>200</v>
      </c>
      <c r="Q8">
        <v>-2855</v>
      </c>
      <c r="R8">
        <v>41386</v>
      </c>
    </row>
    <row r="9" spans="1:18">
      <c r="A9" t="s">
        <v>41</v>
      </c>
      <c r="B9" t="s">
        <v>40</v>
      </c>
      <c r="C9" s="17" t="s">
        <v>35</v>
      </c>
      <c r="D9" t="s">
        <v>551</v>
      </c>
      <c r="E9" t="s">
        <v>552</v>
      </c>
      <c r="F9">
        <v>30</v>
      </c>
      <c r="G9">
        <v>0</v>
      </c>
      <c r="H9">
        <v>30</v>
      </c>
      <c r="I9">
        <v>17388</v>
      </c>
      <c r="J9">
        <v>6955</v>
      </c>
      <c r="K9">
        <v>6933</v>
      </c>
      <c r="L9">
        <v>3500</v>
      </c>
      <c r="M9">
        <v>34776</v>
      </c>
      <c r="N9">
        <v>2087</v>
      </c>
      <c r="O9">
        <v>0</v>
      </c>
      <c r="P9">
        <v>200</v>
      </c>
      <c r="Q9">
        <v>-2287</v>
      </c>
      <c r="R9">
        <v>32489</v>
      </c>
    </row>
    <row r="10" spans="1:18">
      <c r="A10" t="s">
        <v>43</v>
      </c>
      <c r="B10" t="s">
        <v>42</v>
      </c>
      <c r="C10" s="17" t="s">
        <v>35</v>
      </c>
      <c r="D10" t="s">
        <v>551</v>
      </c>
      <c r="E10" t="s">
        <v>552</v>
      </c>
      <c r="F10">
        <v>30</v>
      </c>
      <c r="G10">
        <v>0</v>
      </c>
      <c r="H10">
        <v>30</v>
      </c>
      <c r="I10">
        <v>17598</v>
      </c>
      <c r="J10">
        <v>7039</v>
      </c>
      <c r="K10">
        <v>7059</v>
      </c>
      <c r="L10">
        <v>3500</v>
      </c>
      <c r="M10">
        <v>35196</v>
      </c>
      <c r="N10">
        <v>2112</v>
      </c>
      <c r="O10">
        <v>0</v>
      </c>
      <c r="P10">
        <v>200</v>
      </c>
      <c r="Q10">
        <v>-2312</v>
      </c>
      <c r="R10">
        <v>32884</v>
      </c>
    </row>
    <row r="11" spans="1:18">
      <c r="A11" t="s">
        <v>45</v>
      </c>
      <c r="B11" t="s">
        <v>44</v>
      </c>
      <c r="C11" s="17" t="s">
        <v>46</v>
      </c>
      <c r="D11" t="s">
        <v>551</v>
      </c>
      <c r="E11" t="s">
        <v>552</v>
      </c>
      <c r="F11">
        <v>30</v>
      </c>
      <c r="G11">
        <v>0</v>
      </c>
      <c r="H11">
        <v>30</v>
      </c>
      <c r="I11">
        <v>16551</v>
      </c>
      <c r="J11">
        <v>6620</v>
      </c>
      <c r="K11">
        <v>6430</v>
      </c>
      <c r="L11">
        <v>3500</v>
      </c>
      <c r="M11">
        <v>33101</v>
      </c>
      <c r="N11">
        <v>1986</v>
      </c>
      <c r="O11">
        <v>0</v>
      </c>
      <c r="P11">
        <v>200</v>
      </c>
      <c r="Q11">
        <v>-2186</v>
      </c>
      <c r="R11">
        <v>30915</v>
      </c>
    </row>
    <row r="12" spans="1:18">
      <c r="A12" t="s">
        <v>48</v>
      </c>
      <c r="B12" t="s">
        <v>47</v>
      </c>
      <c r="C12" s="17" t="s">
        <v>49</v>
      </c>
      <c r="D12" t="s">
        <v>551</v>
      </c>
      <c r="E12" t="s">
        <v>552</v>
      </c>
      <c r="F12">
        <v>30</v>
      </c>
      <c r="G12">
        <v>0</v>
      </c>
      <c r="H12">
        <v>30</v>
      </c>
      <c r="I12">
        <v>17569</v>
      </c>
      <c r="J12">
        <v>7027</v>
      </c>
      <c r="K12">
        <v>7041</v>
      </c>
      <c r="L12">
        <v>3500</v>
      </c>
      <c r="M12">
        <v>35137</v>
      </c>
      <c r="N12">
        <v>2108</v>
      </c>
      <c r="O12">
        <v>0</v>
      </c>
      <c r="P12">
        <v>200</v>
      </c>
      <c r="Q12">
        <v>-2308</v>
      </c>
      <c r="R12">
        <v>32829</v>
      </c>
    </row>
    <row r="13" spans="1:18">
      <c r="A13" t="s">
        <v>51</v>
      </c>
      <c r="B13" t="s">
        <v>50</v>
      </c>
      <c r="C13" s="17" t="s">
        <v>52</v>
      </c>
      <c r="D13" t="s">
        <v>551</v>
      </c>
      <c r="E13" t="s">
        <v>552</v>
      </c>
      <c r="F13">
        <v>30</v>
      </c>
      <c r="G13">
        <v>0</v>
      </c>
      <c r="H13">
        <v>30</v>
      </c>
      <c r="I13">
        <v>16091</v>
      </c>
      <c r="J13">
        <v>6436</v>
      </c>
      <c r="K13">
        <v>9655</v>
      </c>
      <c r="L13">
        <v>0</v>
      </c>
      <c r="M13">
        <v>32182</v>
      </c>
      <c r="N13">
        <v>1931</v>
      </c>
      <c r="O13">
        <v>0</v>
      </c>
      <c r="P13">
        <v>200</v>
      </c>
      <c r="Q13">
        <v>-2131</v>
      </c>
      <c r="R13">
        <v>30051</v>
      </c>
    </row>
    <row r="14" spans="1:18">
      <c r="A14" t="s">
        <v>54</v>
      </c>
      <c r="B14" t="s">
        <v>53</v>
      </c>
      <c r="C14" s="17" t="s">
        <v>55</v>
      </c>
      <c r="D14" t="s">
        <v>551</v>
      </c>
      <c r="E14" t="s">
        <v>552</v>
      </c>
      <c r="F14">
        <v>30</v>
      </c>
      <c r="G14">
        <v>0</v>
      </c>
      <c r="H14">
        <v>30</v>
      </c>
      <c r="I14">
        <v>16000</v>
      </c>
      <c r="J14">
        <v>6400</v>
      </c>
      <c r="K14">
        <v>9600</v>
      </c>
      <c r="L14">
        <v>0</v>
      </c>
      <c r="M14">
        <v>32000</v>
      </c>
      <c r="N14">
        <v>1920</v>
      </c>
      <c r="O14">
        <v>0</v>
      </c>
      <c r="P14">
        <v>200</v>
      </c>
      <c r="Q14">
        <v>-2120</v>
      </c>
      <c r="R14">
        <v>29880</v>
      </c>
    </row>
    <row r="15" spans="1:18">
      <c r="A15" t="s">
        <v>57</v>
      </c>
      <c r="B15" t="s">
        <v>56</v>
      </c>
      <c r="C15" s="17" t="s">
        <v>55</v>
      </c>
      <c r="D15" t="s">
        <v>551</v>
      </c>
      <c r="E15" t="s">
        <v>552</v>
      </c>
      <c r="F15">
        <v>30</v>
      </c>
      <c r="G15">
        <v>0</v>
      </c>
      <c r="H15">
        <v>30</v>
      </c>
      <c r="I15">
        <v>15018</v>
      </c>
      <c r="J15">
        <v>6007</v>
      </c>
      <c r="K15">
        <v>9011</v>
      </c>
      <c r="L15">
        <v>0</v>
      </c>
      <c r="M15">
        <v>30036</v>
      </c>
      <c r="N15">
        <v>1802</v>
      </c>
      <c r="O15">
        <v>0</v>
      </c>
      <c r="P15">
        <v>200</v>
      </c>
      <c r="Q15">
        <v>-2002</v>
      </c>
      <c r="R15">
        <v>28034</v>
      </c>
    </row>
    <row r="16" spans="1:18">
      <c r="A16" t="s">
        <v>59</v>
      </c>
      <c r="B16" t="s">
        <v>58</v>
      </c>
      <c r="C16" s="17" t="s">
        <v>60</v>
      </c>
      <c r="D16" t="s">
        <v>551</v>
      </c>
      <c r="E16" t="s">
        <v>552</v>
      </c>
      <c r="F16">
        <v>30</v>
      </c>
      <c r="G16">
        <v>0</v>
      </c>
      <c r="H16">
        <v>30</v>
      </c>
      <c r="I16">
        <v>14198</v>
      </c>
      <c r="J16">
        <v>5679</v>
      </c>
      <c r="K16">
        <v>8519</v>
      </c>
      <c r="L16">
        <v>0</v>
      </c>
      <c r="M16">
        <v>28396</v>
      </c>
      <c r="N16">
        <v>1704</v>
      </c>
      <c r="O16">
        <v>0</v>
      </c>
      <c r="P16">
        <v>200</v>
      </c>
      <c r="Q16">
        <v>-1904</v>
      </c>
      <c r="R16">
        <v>26492</v>
      </c>
    </row>
    <row r="17" spans="1:18">
      <c r="A17" t="s">
        <v>62</v>
      </c>
      <c r="B17" t="s">
        <v>61</v>
      </c>
      <c r="C17" s="17" t="s">
        <v>63</v>
      </c>
      <c r="D17" t="s">
        <v>551</v>
      </c>
      <c r="E17" t="s">
        <v>552</v>
      </c>
      <c r="F17">
        <v>30</v>
      </c>
      <c r="G17">
        <v>0</v>
      </c>
      <c r="H17">
        <v>30</v>
      </c>
      <c r="I17">
        <v>14731</v>
      </c>
      <c r="J17">
        <v>5892</v>
      </c>
      <c r="K17">
        <v>8839</v>
      </c>
      <c r="L17">
        <v>0</v>
      </c>
      <c r="M17">
        <v>29462</v>
      </c>
      <c r="N17">
        <v>1768</v>
      </c>
      <c r="O17">
        <v>0</v>
      </c>
      <c r="P17">
        <v>200</v>
      </c>
      <c r="Q17">
        <v>-1968</v>
      </c>
      <c r="R17">
        <v>27494</v>
      </c>
    </row>
    <row r="18" spans="1:18">
      <c r="A18" t="s">
        <v>65</v>
      </c>
      <c r="B18" t="s">
        <v>64</v>
      </c>
      <c r="C18" s="17" t="s">
        <v>66</v>
      </c>
      <c r="D18" t="s">
        <v>551</v>
      </c>
      <c r="E18" t="s">
        <v>552</v>
      </c>
      <c r="F18">
        <v>30</v>
      </c>
      <c r="G18">
        <v>0</v>
      </c>
      <c r="H18">
        <v>30</v>
      </c>
      <c r="I18">
        <v>14637</v>
      </c>
      <c r="J18">
        <v>5855</v>
      </c>
      <c r="K18">
        <v>8782</v>
      </c>
      <c r="L18">
        <v>0</v>
      </c>
      <c r="M18">
        <v>29274</v>
      </c>
      <c r="N18">
        <v>1756</v>
      </c>
      <c r="O18">
        <v>0</v>
      </c>
      <c r="P18">
        <v>200</v>
      </c>
      <c r="Q18">
        <v>-1956</v>
      </c>
      <c r="R18">
        <v>27318</v>
      </c>
    </row>
    <row r="19" spans="1:18">
      <c r="A19" t="s">
        <v>68</v>
      </c>
      <c r="B19" t="s">
        <v>67</v>
      </c>
      <c r="C19" s="17" t="s">
        <v>69</v>
      </c>
      <c r="D19" t="s">
        <v>551</v>
      </c>
      <c r="E19" t="s">
        <v>552</v>
      </c>
      <c r="F19">
        <v>30</v>
      </c>
      <c r="G19">
        <v>0</v>
      </c>
      <c r="H19">
        <v>30</v>
      </c>
      <c r="I19">
        <v>13291</v>
      </c>
      <c r="J19">
        <v>5316</v>
      </c>
      <c r="K19">
        <v>7974</v>
      </c>
      <c r="L19">
        <v>0</v>
      </c>
      <c r="M19">
        <v>26581</v>
      </c>
      <c r="N19">
        <v>1595</v>
      </c>
      <c r="O19">
        <v>0</v>
      </c>
      <c r="P19">
        <v>200</v>
      </c>
      <c r="Q19">
        <v>-1795</v>
      </c>
      <c r="R19">
        <v>24786</v>
      </c>
    </row>
    <row r="20" spans="1:18">
      <c r="A20" t="s">
        <v>71</v>
      </c>
      <c r="B20" t="s">
        <v>70</v>
      </c>
      <c r="C20" s="17" t="s">
        <v>72</v>
      </c>
      <c r="D20" t="s">
        <v>551</v>
      </c>
      <c r="E20" t="s">
        <v>552</v>
      </c>
      <c r="F20">
        <v>30</v>
      </c>
      <c r="G20">
        <v>0</v>
      </c>
      <c r="H20">
        <v>30</v>
      </c>
      <c r="I20">
        <v>13002</v>
      </c>
      <c r="J20">
        <v>5201</v>
      </c>
      <c r="K20">
        <v>7801</v>
      </c>
      <c r="L20">
        <v>0</v>
      </c>
      <c r="M20">
        <v>26004</v>
      </c>
      <c r="N20">
        <v>1560</v>
      </c>
      <c r="O20">
        <v>0</v>
      </c>
      <c r="P20">
        <v>200</v>
      </c>
      <c r="Q20">
        <v>-1760</v>
      </c>
      <c r="R20">
        <v>24244</v>
      </c>
    </row>
    <row r="21" spans="1:18">
      <c r="A21" t="s">
        <v>74</v>
      </c>
      <c r="B21" t="s">
        <v>73</v>
      </c>
      <c r="C21" s="17" t="s">
        <v>75</v>
      </c>
      <c r="D21" t="s">
        <v>551</v>
      </c>
      <c r="E21" t="s">
        <v>552</v>
      </c>
      <c r="F21">
        <v>30</v>
      </c>
      <c r="G21">
        <v>0</v>
      </c>
      <c r="H21">
        <v>30</v>
      </c>
      <c r="I21">
        <v>13077</v>
      </c>
      <c r="J21">
        <v>5231</v>
      </c>
      <c r="K21">
        <v>7846</v>
      </c>
      <c r="L21">
        <v>0</v>
      </c>
      <c r="M21">
        <v>26154</v>
      </c>
      <c r="N21">
        <v>1569</v>
      </c>
      <c r="O21">
        <v>0</v>
      </c>
      <c r="P21">
        <v>200</v>
      </c>
      <c r="Q21">
        <v>-1769</v>
      </c>
      <c r="R21">
        <v>24385</v>
      </c>
    </row>
    <row r="22" spans="1:18">
      <c r="A22" t="s">
        <v>77</v>
      </c>
      <c r="B22" t="s">
        <v>76</v>
      </c>
      <c r="C22" s="17" t="s">
        <v>78</v>
      </c>
      <c r="D22" t="s">
        <v>551</v>
      </c>
      <c r="E22" t="s">
        <v>552</v>
      </c>
      <c r="F22">
        <v>30</v>
      </c>
      <c r="G22">
        <v>0</v>
      </c>
      <c r="H22">
        <v>30</v>
      </c>
      <c r="I22">
        <v>13596</v>
      </c>
      <c r="J22">
        <v>5438</v>
      </c>
      <c r="K22">
        <v>8158</v>
      </c>
      <c r="L22">
        <v>0</v>
      </c>
      <c r="M22">
        <v>27192</v>
      </c>
      <c r="N22">
        <v>1632</v>
      </c>
      <c r="O22">
        <v>0</v>
      </c>
      <c r="P22">
        <v>200</v>
      </c>
      <c r="Q22">
        <v>-1832</v>
      </c>
      <c r="R22">
        <v>25360</v>
      </c>
    </row>
    <row r="23" spans="1:18">
      <c r="A23" t="s">
        <v>80</v>
      </c>
      <c r="B23" t="s">
        <v>79</v>
      </c>
      <c r="C23" s="17" t="s">
        <v>81</v>
      </c>
      <c r="D23" t="s">
        <v>551</v>
      </c>
      <c r="E23" t="s">
        <v>552</v>
      </c>
      <c r="F23">
        <v>30</v>
      </c>
      <c r="G23">
        <v>0</v>
      </c>
      <c r="H23">
        <v>30</v>
      </c>
      <c r="I23">
        <v>14320</v>
      </c>
      <c r="J23">
        <v>5728</v>
      </c>
      <c r="K23">
        <v>8592</v>
      </c>
      <c r="L23">
        <v>0</v>
      </c>
      <c r="M23">
        <v>28640</v>
      </c>
      <c r="N23">
        <v>1718</v>
      </c>
      <c r="O23">
        <v>0</v>
      </c>
      <c r="P23">
        <v>200</v>
      </c>
      <c r="Q23">
        <v>-1918</v>
      </c>
      <c r="R23">
        <v>26722</v>
      </c>
    </row>
    <row r="24" spans="1:18">
      <c r="A24" t="s">
        <v>83</v>
      </c>
      <c r="B24" t="s">
        <v>82</v>
      </c>
      <c r="C24" s="17" t="s">
        <v>84</v>
      </c>
      <c r="D24" t="s">
        <v>551</v>
      </c>
      <c r="E24" t="s">
        <v>552</v>
      </c>
      <c r="F24">
        <v>30</v>
      </c>
      <c r="G24">
        <v>0</v>
      </c>
      <c r="H24">
        <v>30</v>
      </c>
      <c r="I24">
        <v>14893</v>
      </c>
      <c r="J24">
        <v>5957</v>
      </c>
      <c r="K24">
        <v>8936</v>
      </c>
      <c r="L24">
        <v>0</v>
      </c>
      <c r="M24">
        <v>29786</v>
      </c>
      <c r="N24">
        <v>1787</v>
      </c>
      <c r="O24">
        <v>0</v>
      </c>
      <c r="P24">
        <v>200</v>
      </c>
      <c r="Q24">
        <v>-1987</v>
      </c>
      <c r="R24">
        <v>27799</v>
      </c>
    </row>
    <row r="25" spans="1:18">
      <c r="A25" t="s">
        <v>86</v>
      </c>
      <c r="B25" t="s">
        <v>85</v>
      </c>
      <c r="C25" s="17" t="s">
        <v>87</v>
      </c>
      <c r="D25" t="s">
        <v>551</v>
      </c>
      <c r="E25" t="s">
        <v>552</v>
      </c>
      <c r="F25">
        <v>30</v>
      </c>
      <c r="G25">
        <v>0</v>
      </c>
      <c r="H25">
        <v>30</v>
      </c>
      <c r="I25">
        <v>13234</v>
      </c>
      <c r="J25">
        <v>5294</v>
      </c>
      <c r="K25">
        <v>7941</v>
      </c>
      <c r="L25">
        <v>0</v>
      </c>
      <c r="M25">
        <v>26469</v>
      </c>
      <c r="N25">
        <v>1588</v>
      </c>
      <c r="O25">
        <v>0</v>
      </c>
      <c r="P25">
        <v>200</v>
      </c>
      <c r="Q25">
        <v>-1788</v>
      </c>
      <c r="R25">
        <v>24681</v>
      </c>
    </row>
    <row r="26" spans="1:18">
      <c r="A26" t="s">
        <v>89</v>
      </c>
      <c r="B26" t="s">
        <v>88</v>
      </c>
      <c r="C26" s="17" t="s">
        <v>90</v>
      </c>
      <c r="D26" t="s">
        <v>551</v>
      </c>
      <c r="E26" t="s">
        <v>553</v>
      </c>
      <c r="F26">
        <v>30</v>
      </c>
      <c r="G26">
        <v>0</v>
      </c>
      <c r="H26">
        <v>30</v>
      </c>
      <c r="I26">
        <v>11446</v>
      </c>
      <c r="J26">
        <v>4579</v>
      </c>
      <c r="K26">
        <v>6868</v>
      </c>
      <c r="L26">
        <v>0</v>
      </c>
      <c r="M26">
        <v>22893</v>
      </c>
      <c r="N26">
        <v>1374</v>
      </c>
      <c r="O26">
        <v>0</v>
      </c>
      <c r="P26">
        <v>200</v>
      </c>
      <c r="Q26">
        <v>-1574</v>
      </c>
      <c r="R26">
        <v>21319</v>
      </c>
    </row>
    <row r="27" spans="1:18">
      <c r="A27" t="s">
        <v>92</v>
      </c>
      <c r="B27" t="s">
        <v>91</v>
      </c>
      <c r="C27" s="17" t="s">
        <v>93</v>
      </c>
      <c r="D27" t="s">
        <v>551</v>
      </c>
      <c r="E27" t="s">
        <v>554</v>
      </c>
      <c r="F27">
        <v>30</v>
      </c>
      <c r="G27">
        <v>0</v>
      </c>
      <c r="H27">
        <v>30</v>
      </c>
      <c r="I27">
        <v>10844</v>
      </c>
      <c r="J27">
        <v>4338</v>
      </c>
      <c r="K27">
        <v>6507</v>
      </c>
      <c r="L27">
        <v>0</v>
      </c>
      <c r="M27">
        <v>21689</v>
      </c>
      <c r="N27">
        <v>1301</v>
      </c>
      <c r="O27">
        <v>0</v>
      </c>
      <c r="P27">
        <v>200</v>
      </c>
      <c r="Q27">
        <v>-1501</v>
      </c>
      <c r="R27">
        <v>20188</v>
      </c>
    </row>
    <row r="28" spans="1:18">
      <c r="A28" t="s">
        <v>95</v>
      </c>
      <c r="B28" t="s">
        <v>94</v>
      </c>
      <c r="C28" s="17" t="s">
        <v>96</v>
      </c>
      <c r="D28" t="s">
        <v>551</v>
      </c>
      <c r="E28" t="s">
        <v>554</v>
      </c>
      <c r="F28">
        <v>30</v>
      </c>
      <c r="G28">
        <v>0</v>
      </c>
      <c r="H28">
        <v>30</v>
      </c>
      <c r="I28">
        <v>11056</v>
      </c>
      <c r="J28">
        <v>4422</v>
      </c>
      <c r="K28">
        <v>6633</v>
      </c>
      <c r="L28">
        <v>0</v>
      </c>
      <c r="M28">
        <v>22111</v>
      </c>
      <c r="N28">
        <v>1327</v>
      </c>
      <c r="O28">
        <v>0</v>
      </c>
      <c r="P28">
        <v>200</v>
      </c>
      <c r="Q28">
        <v>-1527</v>
      </c>
      <c r="R28">
        <v>20584</v>
      </c>
    </row>
    <row r="29" spans="1:18">
      <c r="A29" t="s">
        <v>98</v>
      </c>
      <c r="B29" t="s">
        <v>97</v>
      </c>
      <c r="C29" s="17" t="s">
        <v>99</v>
      </c>
      <c r="D29" t="s">
        <v>551</v>
      </c>
      <c r="E29" t="s">
        <v>554</v>
      </c>
      <c r="F29">
        <v>30</v>
      </c>
      <c r="G29">
        <v>0</v>
      </c>
      <c r="H29">
        <v>30</v>
      </c>
      <c r="I29">
        <v>10777</v>
      </c>
      <c r="J29">
        <v>4311</v>
      </c>
      <c r="K29">
        <v>6466</v>
      </c>
      <c r="L29">
        <v>0</v>
      </c>
      <c r="M29">
        <v>21554</v>
      </c>
      <c r="N29">
        <v>1293</v>
      </c>
      <c r="O29">
        <v>0</v>
      </c>
      <c r="P29">
        <v>200</v>
      </c>
      <c r="Q29">
        <v>-1493</v>
      </c>
      <c r="R29">
        <v>20061</v>
      </c>
    </row>
    <row r="30" spans="1:18">
      <c r="A30" t="s">
        <v>101</v>
      </c>
      <c r="B30" t="s">
        <v>100</v>
      </c>
      <c r="C30" s="17" t="s">
        <v>102</v>
      </c>
      <c r="D30" t="s">
        <v>551</v>
      </c>
      <c r="E30" t="s">
        <v>554</v>
      </c>
      <c r="F30">
        <v>30</v>
      </c>
      <c r="G30">
        <v>0</v>
      </c>
      <c r="H30">
        <v>30</v>
      </c>
      <c r="I30">
        <v>10994</v>
      </c>
      <c r="J30">
        <v>4398</v>
      </c>
      <c r="K30">
        <v>6596</v>
      </c>
      <c r="L30">
        <v>0</v>
      </c>
      <c r="M30">
        <v>21988</v>
      </c>
      <c r="N30">
        <v>1319</v>
      </c>
      <c r="O30">
        <v>0</v>
      </c>
      <c r="P30">
        <v>200</v>
      </c>
      <c r="Q30">
        <v>-1519</v>
      </c>
      <c r="R30">
        <v>20469</v>
      </c>
    </row>
    <row r="31" spans="1:18">
      <c r="A31" t="s">
        <v>104</v>
      </c>
      <c r="B31" t="s">
        <v>103</v>
      </c>
      <c r="C31" s="17" t="s">
        <v>105</v>
      </c>
      <c r="D31" t="s">
        <v>551</v>
      </c>
      <c r="E31" t="s">
        <v>554</v>
      </c>
      <c r="F31">
        <v>30</v>
      </c>
      <c r="G31">
        <v>0</v>
      </c>
      <c r="H31">
        <v>30</v>
      </c>
      <c r="I31">
        <v>10994</v>
      </c>
      <c r="J31">
        <v>4398</v>
      </c>
      <c r="K31">
        <v>6596</v>
      </c>
      <c r="L31">
        <v>0</v>
      </c>
      <c r="M31">
        <v>21988</v>
      </c>
      <c r="N31">
        <v>1319</v>
      </c>
      <c r="O31">
        <v>0</v>
      </c>
      <c r="P31">
        <v>200</v>
      </c>
      <c r="Q31">
        <v>-1519</v>
      </c>
      <c r="R31">
        <v>20469</v>
      </c>
    </row>
    <row r="32" spans="1:18">
      <c r="A32" t="s">
        <v>107</v>
      </c>
      <c r="B32" t="s">
        <v>106</v>
      </c>
      <c r="C32" s="17" t="s">
        <v>108</v>
      </c>
      <c r="D32" t="s">
        <v>551</v>
      </c>
      <c r="E32" t="s">
        <v>554</v>
      </c>
      <c r="F32">
        <v>30</v>
      </c>
      <c r="G32">
        <v>30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>
      <c r="A33" t="s">
        <v>110</v>
      </c>
      <c r="B33" t="s">
        <v>109</v>
      </c>
      <c r="C33" s="17" t="s">
        <v>111</v>
      </c>
      <c r="D33" t="s">
        <v>551</v>
      </c>
      <c r="E33" t="s">
        <v>554</v>
      </c>
      <c r="F33">
        <v>30</v>
      </c>
      <c r="G33">
        <v>0</v>
      </c>
      <c r="H33">
        <v>30</v>
      </c>
      <c r="I33">
        <v>10510</v>
      </c>
      <c r="J33">
        <v>4204</v>
      </c>
      <c r="K33">
        <v>6306</v>
      </c>
      <c r="L33">
        <v>0</v>
      </c>
      <c r="M33">
        <v>21020</v>
      </c>
      <c r="N33">
        <v>1261</v>
      </c>
      <c r="O33">
        <v>0</v>
      </c>
      <c r="P33">
        <v>200</v>
      </c>
      <c r="Q33">
        <v>-1461</v>
      </c>
      <c r="R33">
        <v>19559</v>
      </c>
    </row>
    <row r="34" spans="1:18">
      <c r="A34" t="s">
        <v>113</v>
      </c>
      <c r="B34" t="s">
        <v>112</v>
      </c>
      <c r="C34" s="17" t="s">
        <v>114</v>
      </c>
      <c r="D34" t="s">
        <v>551</v>
      </c>
      <c r="E34" t="s">
        <v>554</v>
      </c>
      <c r="F34">
        <v>30</v>
      </c>
      <c r="G34">
        <v>0</v>
      </c>
      <c r="H34">
        <v>30</v>
      </c>
      <c r="I34">
        <v>10667</v>
      </c>
      <c r="J34">
        <v>4267</v>
      </c>
      <c r="K34">
        <v>6400</v>
      </c>
      <c r="L34">
        <v>0</v>
      </c>
      <c r="M34">
        <v>21334</v>
      </c>
      <c r="N34">
        <v>1280</v>
      </c>
      <c r="O34">
        <v>0</v>
      </c>
      <c r="P34">
        <v>200</v>
      </c>
      <c r="Q34">
        <v>-1480</v>
      </c>
      <c r="R34">
        <v>19854</v>
      </c>
    </row>
    <row r="35" spans="1:18">
      <c r="A35" t="s">
        <v>116</v>
      </c>
      <c r="B35" t="s">
        <v>115</v>
      </c>
      <c r="C35" s="17" t="s">
        <v>117</v>
      </c>
      <c r="D35" t="s">
        <v>551</v>
      </c>
      <c r="E35" t="s">
        <v>554</v>
      </c>
      <c r="F35">
        <v>30</v>
      </c>
      <c r="G35">
        <v>0</v>
      </c>
      <c r="H35">
        <v>30</v>
      </c>
      <c r="I35">
        <v>10642</v>
      </c>
      <c r="J35">
        <v>4257</v>
      </c>
      <c r="K35">
        <v>6385</v>
      </c>
      <c r="L35">
        <v>0</v>
      </c>
      <c r="M35">
        <v>21284</v>
      </c>
      <c r="N35">
        <v>1277</v>
      </c>
      <c r="O35">
        <v>0</v>
      </c>
      <c r="P35">
        <v>200</v>
      </c>
      <c r="Q35">
        <v>-1477</v>
      </c>
      <c r="R35">
        <v>19807</v>
      </c>
    </row>
    <row r="36" spans="1:18">
      <c r="A36" t="s">
        <v>119</v>
      </c>
      <c r="B36" t="s">
        <v>118</v>
      </c>
      <c r="C36" s="17" t="s">
        <v>120</v>
      </c>
      <c r="D36" t="s">
        <v>551</v>
      </c>
      <c r="E36" t="s">
        <v>554</v>
      </c>
      <c r="F36">
        <v>30</v>
      </c>
      <c r="G36">
        <v>0</v>
      </c>
      <c r="H36">
        <v>30</v>
      </c>
      <c r="I36">
        <v>9690</v>
      </c>
      <c r="J36">
        <v>3876</v>
      </c>
      <c r="K36">
        <v>5814</v>
      </c>
      <c r="L36">
        <v>0</v>
      </c>
      <c r="M36">
        <v>19380</v>
      </c>
      <c r="N36">
        <v>1163</v>
      </c>
      <c r="O36">
        <v>146</v>
      </c>
      <c r="P36">
        <v>150</v>
      </c>
      <c r="Q36">
        <v>-1459</v>
      </c>
      <c r="R36">
        <v>17921</v>
      </c>
    </row>
    <row r="37" spans="1:18">
      <c r="A37" t="s">
        <v>122</v>
      </c>
      <c r="B37" t="s">
        <v>121</v>
      </c>
      <c r="C37" s="17" t="s">
        <v>123</v>
      </c>
      <c r="D37" t="s">
        <v>551</v>
      </c>
      <c r="E37" t="s">
        <v>554</v>
      </c>
      <c r="F37">
        <v>30</v>
      </c>
      <c r="G37">
        <v>0</v>
      </c>
      <c r="H37">
        <v>30</v>
      </c>
      <c r="I37">
        <v>9690</v>
      </c>
      <c r="J37">
        <v>3876</v>
      </c>
      <c r="K37">
        <v>5814</v>
      </c>
      <c r="L37">
        <v>0</v>
      </c>
      <c r="M37">
        <v>19380</v>
      </c>
      <c r="N37">
        <v>1163</v>
      </c>
      <c r="O37">
        <v>146</v>
      </c>
      <c r="P37">
        <v>150</v>
      </c>
      <c r="Q37">
        <v>-1459</v>
      </c>
      <c r="R37">
        <v>17921</v>
      </c>
    </row>
    <row r="38" spans="1:18">
      <c r="A38" t="s">
        <v>125</v>
      </c>
      <c r="B38" t="s">
        <v>124</v>
      </c>
      <c r="C38" s="17" t="s">
        <v>126</v>
      </c>
      <c r="D38" t="s">
        <v>551</v>
      </c>
      <c r="E38" t="s">
        <v>554</v>
      </c>
      <c r="F38">
        <v>30</v>
      </c>
      <c r="G38">
        <v>0</v>
      </c>
      <c r="H38">
        <v>30</v>
      </c>
      <c r="I38">
        <v>9690</v>
      </c>
      <c r="J38">
        <v>3876</v>
      </c>
      <c r="K38">
        <v>5814</v>
      </c>
      <c r="L38">
        <v>0</v>
      </c>
      <c r="M38">
        <v>19380</v>
      </c>
      <c r="N38">
        <v>1163</v>
      </c>
      <c r="O38">
        <v>146</v>
      </c>
      <c r="P38">
        <v>150</v>
      </c>
      <c r="Q38">
        <v>-1459</v>
      </c>
      <c r="R38">
        <v>17921</v>
      </c>
    </row>
    <row r="39" spans="1:18">
      <c r="A39" t="s">
        <v>128</v>
      </c>
      <c r="B39" t="s">
        <v>127</v>
      </c>
      <c r="C39" s="17" t="s">
        <v>129</v>
      </c>
      <c r="D39" t="s">
        <v>551</v>
      </c>
      <c r="E39" t="s">
        <v>554</v>
      </c>
      <c r="F39">
        <v>30</v>
      </c>
      <c r="G39">
        <v>0</v>
      </c>
      <c r="H39">
        <v>30</v>
      </c>
      <c r="I39">
        <v>10995</v>
      </c>
      <c r="J39">
        <v>4398</v>
      </c>
      <c r="K39">
        <v>6597</v>
      </c>
      <c r="L39">
        <v>0</v>
      </c>
      <c r="M39">
        <v>21990</v>
      </c>
      <c r="N39">
        <v>1319</v>
      </c>
      <c r="O39">
        <v>0</v>
      </c>
      <c r="P39">
        <v>200</v>
      </c>
      <c r="Q39">
        <v>-1519</v>
      </c>
      <c r="R39">
        <v>20471</v>
      </c>
    </row>
    <row r="40" spans="1:18">
      <c r="A40" t="s">
        <v>131</v>
      </c>
      <c r="B40" t="s">
        <v>130</v>
      </c>
      <c r="C40" s="17" t="s">
        <v>132</v>
      </c>
      <c r="D40" t="s">
        <v>551</v>
      </c>
      <c r="E40" t="s">
        <v>554</v>
      </c>
      <c r="F40">
        <v>30</v>
      </c>
      <c r="G40">
        <v>0</v>
      </c>
      <c r="H40">
        <v>30</v>
      </c>
      <c r="I40">
        <v>9318</v>
      </c>
      <c r="J40">
        <v>3727</v>
      </c>
      <c r="K40">
        <v>5591</v>
      </c>
      <c r="L40">
        <v>0</v>
      </c>
      <c r="M40">
        <v>18636</v>
      </c>
      <c r="N40">
        <v>1118</v>
      </c>
      <c r="O40">
        <v>140</v>
      </c>
      <c r="P40">
        <v>150</v>
      </c>
      <c r="Q40">
        <v>-1408</v>
      </c>
      <c r="R40">
        <v>17228</v>
      </c>
    </row>
    <row r="41" spans="1:18">
      <c r="A41" t="s">
        <v>134</v>
      </c>
      <c r="B41" t="s">
        <v>133</v>
      </c>
      <c r="C41" s="17" t="s">
        <v>135</v>
      </c>
      <c r="D41" t="s">
        <v>551</v>
      </c>
      <c r="E41" t="s">
        <v>554</v>
      </c>
      <c r="F41">
        <v>30</v>
      </c>
      <c r="G41">
        <v>0</v>
      </c>
      <c r="H41">
        <v>30</v>
      </c>
      <c r="I41">
        <v>9318</v>
      </c>
      <c r="J41">
        <v>3727</v>
      </c>
      <c r="K41">
        <v>5591</v>
      </c>
      <c r="L41">
        <v>0</v>
      </c>
      <c r="M41">
        <v>18636</v>
      </c>
      <c r="N41">
        <v>1118</v>
      </c>
      <c r="O41">
        <v>140</v>
      </c>
      <c r="P41">
        <v>150</v>
      </c>
      <c r="Q41">
        <v>-1408</v>
      </c>
      <c r="R41">
        <v>17228</v>
      </c>
    </row>
    <row r="42" spans="1:18">
      <c r="A42" t="s">
        <v>137</v>
      </c>
      <c r="B42" t="s">
        <v>136</v>
      </c>
      <c r="C42" s="17" t="s">
        <v>138</v>
      </c>
      <c r="D42" t="s">
        <v>551</v>
      </c>
      <c r="E42" t="s">
        <v>554</v>
      </c>
      <c r="F42">
        <v>30</v>
      </c>
      <c r="G42">
        <v>0</v>
      </c>
      <c r="H42">
        <v>30</v>
      </c>
      <c r="I42">
        <v>9318</v>
      </c>
      <c r="J42">
        <v>3727</v>
      </c>
      <c r="K42">
        <v>5591</v>
      </c>
      <c r="L42">
        <v>0</v>
      </c>
      <c r="M42">
        <v>18636</v>
      </c>
      <c r="N42">
        <v>1118</v>
      </c>
      <c r="O42">
        <v>140</v>
      </c>
      <c r="P42">
        <v>150</v>
      </c>
      <c r="Q42">
        <v>-1408</v>
      </c>
      <c r="R42">
        <v>17228</v>
      </c>
    </row>
    <row r="43" spans="1:18">
      <c r="A43" t="s">
        <v>140</v>
      </c>
      <c r="B43" t="s">
        <v>139</v>
      </c>
      <c r="C43" s="17" t="s">
        <v>141</v>
      </c>
      <c r="D43" t="s">
        <v>551</v>
      </c>
      <c r="E43" t="s">
        <v>554</v>
      </c>
      <c r="F43">
        <v>30</v>
      </c>
      <c r="G43">
        <v>0</v>
      </c>
      <c r="H43">
        <v>30</v>
      </c>
      <c r="I43">
        <v>9244</v>
      </c>
      <c r="J43">
        <v>3698</v>
      </c>
      <c r="K43">
        <v>5546</v>
      </c>
      <c r="L43">
        <v>0</v>
      </c>
      <c r="M43">
        <v>18488</v>
      </c>
      <c r="N43">
        <v>1109</v>
      </c>
      <c r="O43">
        <v>139</v>
      </c>
      <c r="P43">
        <v>150</v>
      </c>
      <c r="Q43">
        <v>-1398</v>
      </c>
      <c r="R43">
        <v>17090</v>
      </c>
    </row>
    <row r="44" spans="1:18">
      <c r="A44" t="s">
        <v>143</v>
      </c>
      <c r="B44" t="s">
        <v>142</v>
      </c>
      <c r="C44" s="17" t="s">
        <v>144</v>
      </c>
      <c r="D44" t="s">
        <v>551</v>
      </c>
      <c r="E44" t="s">
        <v>554</v>
      </c>
      <c r="F44">
        <v>30</v>
      </c>
      <c r="G44">
        <v>0</v>
      </c>
      <c r="H44">
        <v>30</v>
      </c>
      <c r="I44">
        <v>9095</v>
      </c>
      <c r="J44">
        <v>3638</v>
      </c>
      <c r="K44">
        <v>5457</v>
      </c>
      <c r="L44">
        <v>0</v>
      </c>
      <c r="M44">
        <v>18190</v>
      </c>
      <c r="N44">
        <v>1091</v>
      </c>
      <c r="O44">
        <v>137</v>
      </c>
      <c r="P44">
        <v>150</v>
      </c>
      <c r="Q44">
        <v>-1378</v>
      </c>
      <c r="R44">
        <v>16812</v>
      </c>
    </row>
    <row r="45" spans="1:18">
      <c r="A45" t="s">
        <v>146</v>
      </c>
      <c r="B45" t="s">
        <v>145</v>
      </c>
      <c r="C45" s="17" t="s">
        <v>147</v>
      </c>
      <c r="D45" t="s">
        <v>551</v>
      </c>
      <c r="E45" t="s">
        <v>554</v>
      </c>
      <c r="F45">
        <v>30</v>
      </c>
      <c r="G45">
        <v>0</v>
      </c>
      <c r="H45">
        <v>30</v>
      </c>
      <c r="I45">
        <v>9095</v>
      </c>
      <c r="J45">
        <v>3638</v>
      </c>
      <c r="K45">
        <v>5457</v>
      </c>
      <c r="L45">
        <v>0</v>
      </c>
      <c r="M45">
        <v>18190</v>
      </c>
      <c r="N45">
        <v>1091</v>
      </c>
      <c r="O45">
        <v>137</v>
      </c>
      <c r="P45">
        <v>150</v>
      </c>
      <c r="Q45">
        <v>-1378</v>
      </c>
      <c r="R45">
        <v>16812</v>
      </c>
    </row>
    <row r="46" spans="1:18">
      <c r="A46" t="s">
        <v>149</v>
      </c>
      <c r="B46" t="s">
        <v>148</v>
      </c>
      <c r="C46" s="17" t="s">
        <v>150</v>
      </c>
      <c r="D46" t="s">
        <v>551</v>
      </c>
      <c r="E46" t="s">
        <v>554</v>
      </c>
      <c r="F46">
        <v>30</v>
      </c>
      <c r="G46">
        <v>0</v>
      </c>
      <c r="H46">
        <v>30</v>
      </c>
      <c r="I46">
        <v>8873</v>
      </c>
      <c r="J46">
        <v>3549</v>
      </c>
      <c r="K46">
        <v>5324</v>
      </c>
      <c r="L46">
        <v>0</v>
      </c>
      <c r="M46">
        <v>17746</v>
      </c>
      <c r="N46">
        <v>1065</v>
      </c>
      <c r="O46">
        <v>134</v>
      </c>
      <c r="P46">
        <v>150</v>
      </c>
      <c r="Q46">
        <v>-1349</v>
      </c>
      <c r="R46">
        <v>16397</v>
      </c>
    </row>
    <row r="47" spans="1:18">
      <c r="A47" t="s">
        <v>152</v>
      </c>
      <c r="B47" t="s">
        <v>151</v>
      </c>
      <c r="C47" s="17" t="s">
        <v>153</v>
      </c>
      <c r="D47" t="s">
        <v>551</v>
      </c>
      <c r="E47" t="s">
        <v>554</v>
      </c>
      <c r="F47">
        <v>30</v>
      </c>
      <c r="G47">
        <v>0</v>
      </c>
      <c r="H47">
        <v>30</v>
      </c>
      <c r="I47">
        <v>8798</v>
      </c>
      <c r="J47">
        <v>3519</v>
      </c>
      <c r="K47">
        <v>5279</v>
      </c>
      <c r="L47">
        <v>0</v>
      </c>
      <c r="M47">
        <v>17596</v>
      </c>
      <c r="N47">
        <v>1056</v>
      </c>
      <c r="O47">
        <v>132</v>
      </c>
      <c r="P47">
        <v>150</v>
      </c>
      <c r="Q47">
        <v>-1338</v>
      </c>
      <c r="R47">
        <v>16258</v>
      </c>
    </row>
    <row r="48" spans="1:18">
      <c r="A48" t="s">
        <v>155</v>
      </c>
      <c r="B48" t="s">
        <v>154</v>
      </c>
      <c r="C48" s="17" t="s">
        <v>156</v>
      </c>
      <c r="D48" t="s">
        <v>551</v>
      </c>
      <c r="E48" t="s">
        <v>554</v>
      </c>
      <c r="F48">
        <v>30</v>
      </c>
      <c r="G48">
        <v>0</v>
      </c>
      <c r="H48">
        <v>30</v>
      </c>
      <c r="I48">
        <v>8798</v>
      </c>
      <c r="J48">
        <v>3519</v>
      </c>
      <c r="K48">
        <v>5279</v>
      </c>
      <c r="L48">
        <v>0</v>
      </c>
      <c r="M48">
        <v>17596</v>
      </c>
      <c r="N48">
        <v>1056</v>
      </c>
      <c r="O48">
        <v>132</v>
      </c>
      <c r="P48">
        <v>150</v>
      </c>
      <c r="Q48">
        <v>-1338</v>
      </c>
      <c r="R48">
        <v>16258</v>
      </c>
    </row>
    <row r="49" spans="1:18">
      <c r="A49" t="s">
        <v>158</v>
      </c>
      <c r="B49" t="s">
        <v>157</v>
      </c>
      <c r="C49" s="17" t="s">
        <v>159</v>
      </c>
      <c r="D49" t="s">
        <v>551</v>
      </c>
      <c r="E49" t="s">
        <v>554</v>
      </c>
      <c r="F49">
        <v>30</v>
      </c>
      <c r="G49">
        <v>0</v>
      </c>
      <c r="H49">
        <v>30</v>
      </c>
      <c r="I49">
        <v>8809</v>
      </c>
      <c r="J49">
        <v>3523</v>
      </c>
      <c r="K49">
        <v>5285</v>
      </c>
      <c r="L49">
        <v>0</v>
      </c>
      <c r="M49">
        <v>17617</v>
      </c>
      <c r="N49">
        <v>1057</v>
      </c>
      <c r="O49">
        <v>133</v>
      </c>
      <c r="P49">
        <v>150</v>
      </c>
      <c r="Q49">
        <v>-1340</v>
      </c>
      <c r="R49">
        <v>16277</v>
      </c>
    </row>
    <row r="50" spans="1:18">
      <c r="A50" t="s">
        <v>161</v>
      </c>
      <c r="B50" t="s">
        <v>160</v>
      </c>
      <c r="C50" s="17" t="s">
        <v>162</v>
      </c>
      <c r="D50" t="s">
        <v>551</v>
      </c>
      <c r="E50" t="s">
        <v>554</v>
      </c>
      <c r="F50">
        <v>30</v>
      </c>
      <c r="G50">
        <v>0</v>
      </c>
      <c r="H50">
        <v>30</v>
      </c>
      <c r="I50">
        <v>8794</v>
      </c>
      <c r="J50">
        <v>3518</v>
      </c>
      <c r="K50">
        <v>5276</v>
      </c>
      <c r="L50">
        <v>0</v>
      </c>
      <c r="M50">
        <v>17588</v>
      </c>
      <c r="N50">
        <v>1055</v>
      </c>
      <c r="O50">
        <v>132</v>
      </c>
      <c r="P50">
        <v>150</v>
      </c>
      <c r="Q50">
        <v>-1337</v>
      </c>
      <c r="R50">
        <v>16251</v>
      </c>
    </row>
    <row r="51" spans="1:18">
      <c r="A51" t="s">
        <v>164</v>
      </c>
      <c r="B51" t="s">
        <v>163</v>
      </c>
      <c r="C51" s="17" t="s">
        <v>165</v>
      </c>
      <c r="D51" t="s">
        <v>551</v>
      </c>
      <c r="E51" t="s">
        <v>554</v>
      </c>
      <c r="F51">
        <v>30</v>
      </c>
      <c r="G51">
        <v>0</v>
      </c>
      <c r="H51">
        <v>30</v>
      </c>
      <c r="I51">
        <v>7716</v>
      </c>
      <c r="J51">
        <v>3086</v>
      </c>
      <c r="K51">
        <v>4629</v>
      </c>
      <c r="L51">
        <v>0</v>
      </c>
      <c r="M51">
        <v>15431</v>
      </c>
      <c r="N51">
        <v>926</v>
      </c>
      <c r="O51">
        <v>116</v>
      </c>
      <c r="P51">
        <v>150</v>
      </c>
      <c r="Q51">
        <v>-1192</v>
      </c>
      <c r="R51">
        <v>14239</v>
      </c>
    </row>
    <row r="52" spans="1:18">
      <c r="A52" t="s">
        <v>167</v>
      </c>
      <c r="B52" t="s">
        <v>166</v>
      </c>
      <c r="C52" s="17" t="s">
        <v>168</v>
      </c>
      <c r="D52" t="s">
        <v>551</v>
      </c>
      <c r="E52" t="s">
        <v>554</v>
      </c>
      <c r="F52">
        <v>30</v>
      </c>
      <c r="G52">
        <v>0</v>
      </c>
      <c r="H52">
        <v>30</v>
      </c>
      <c r="I52">
        <v>8466</v>
      </c>
      <c r="J52">
        <v>3386</v>
      </c>
      <c r="K52">
        <v>5079</v>
      </c>
      <c r="L52">
        <v>0</v>
      </c>
      <c r="M52">
        <v>16931</v>
      </c>
      <c r="N52">
        <v>1016</v>
      </c>
      <c r="O52">
        <v>127</v>
      </c>
      <c r="P52">
        <v>150</v>
      </c>
      <c r="Q52">
        <v>-1293</v>
      </c>
      <c r="R52">
        <v>15638</v>
      </c>
    </row>
    <row r="53" spans="1:18">
      <c r="A53" t="s">
        <v>170</v>
      </c>
      <c r="B53" t="s">
        <v>169</v>
      </c>
      <c r="C53" s="17" t="s">
        <v>168</v>
      </c>
      <c r="D53" t="s">
        <v>551</v>
      </c>
      <c r="E53" t="s">
        <v>554</v>
      </c>
      <c r="F53">
        <v>30</v>
      </c>
      <c r="G53">
        <v>0</v>
      </c>
      <c r="H53">
        <v>30</v>
      </c>
      <c r="I53">
        <v>8466</v>
      </c>
      <c r="J53">
        <v>3386</v>
      </c>
      <c r="K53">
        <v>5079</v>
      </c>
      <c r="L53">
        <v>0</v>
      </c>
      <c r="M53">
        <v>16931</v>
      </c>
      <c r="N53">
        <v>1016</v>
      </c>
      <c r="O53">
        <v>127</v>
      </c>
      <c r="P53">
        <v>150</v>
      </c>
      <c r="Q53">
        <v>-1293</v>
      </c>
      <c r="R53">
        <v>15638</v>
      </c>
    </row>
    <row r="54" spans="1:18">
      <c r="A54" t="s">
        <v>172</v>
      </c>
      <c r="B54" t="s">
        <v>171</v>
      </c>
      <c r="C54" s="17" t="s">
        <v>173</v>
      </c>
      <c r="D54" t="s">
        <v>551</v>
      </c>
      <c r="E54" t="s">
        <v>554</v>
      </c>
      <c r="F54">
        <v>30</v>
      </c>
      <c r="G54">
        <v>0</v>
      </c>
      <c r="H54">
        <v>30</v>
      </c>
      <c r="I54">
        <v>8435</v>
      </c>
      <c r="J54">
        <v>3374</v>
      </c>
      <c r="K54">
        <v>5061</v>
      </c>
      <c r="L54">
        <v>0</v>
      </c>
      <c r="M54">
        <v>16870</v>
      </c>
      <c r="N54">
        <v>1012</v>
      </c>
      <c r="O54">
        <v>127</v>
      </c>
      <c r="P54">
        <v>150</v>
      </c>
      <c r="Q54">
        <v>-1289</v>
      </c>
      <c r="R54">
        <v>15581</v>
      </c>
    </row>
    <row r="55" spans="1:18">
      <c r="A55" t="s">
        <v>175</v>
      </c>
      <c r="B55" t="s">
        <v>174</v>
      </c>
      <c r="C55" s="17" t="s">
        <v>176</v>
      </c>
      <c r="D55" t="s">
        <v>551</v>
      </c>
      <c r="E55" t="s">
        <v>554</v>
      </c>
      <c r="F55">
        <v>30</v>
      </c>
      <c r="G55">
        <v>0</v>
      </c>
      <c r="H55">
        <v>30</v>
      </c>
      <c r="I55">
        <v>8427</v>
      </c>
      <c r="J55">
        <v>3371</v>
      </c>
      <c r="K55">
        <v>5056</v>
      </c>
      <c r="L55">
        <v>0</v>
      </c>
      <c r="M55">
        <v>16854</v>
      </c>
      <c r="N55">
        <v>1011</v>
      </c>
      <c r="O55">
        <v>127</v>
      </c>
      <c r="P55">
        <v>150</v>
      </c>
      <c r="Q55">
        <v>-1288</v>
      </c>
      <c r="R55">
        <v>15566</v>
      </c>
    </row>
    <row r="56" spans="1:18">
      <c r="A56" t="s">
        <v>178</v>
      </c>
      <c r="B56" t="s">
        <v>177</v>
      </c>
      <c r="C56" s="17" t="s">
        <v>179</v>
      </c>
      <c r="D56" t="s">
        <v>551</v>
      </c>
      <c r="E56" t="s">
        <v>554</v>
      </c>
      <c r="F56">
        <v>30</v>
      </c>
      <c r="G56">
        <v>0</v>
      </c>
      <c r="H56">
        <v>30</v>
      </c>
      <c r="I56">
        <v>8405</v>
      </c>
      <c r="J56">
        <v>3362</v>
      </c>
      <c r="K56">
        <v>5043</v>
      </c>
      <c r="L56">
        <v>0</v>
      </c>
      <c r="M56">
        <v>16810</v>
      </c>
      <c r="N56">
        <v>1009</v>
      </c>
      <c r="O56">
        <v>127</v>
      </c>
      <c r="P56">
        <v>150</v>
      </c>
      <c r="Q56">
        <v>-1286</v>
      </c>
      <c r="R56">
        <v>15524</v>
      </c>
    </row>
    <row r="57" spans="1:18">
      <c r="A57" t="s">
        <v>181</v>
      </c>
      <c r="B57" t="s">
        <v>180</v>
      </c>
      <c r="C57" s="17" t="s">
        <v>182</v>
      </c>
      <c r="D57" t="s">
        <v>551</v>
      </c>
      <c r="E57" t="s">
        <v>554</v>
      </c>
      <c r="F57">
        <v>30</v>
      </c>
      <c r="G57">
        <v>3</v>
      </c>
      <c r="H57">
        <v>27</v>
      </c>
      <c r="I57">
        <v>7559</v>
      </c>
      <c r="J57">
        <v>3024</v>
      </c>
      <c r="K57">
        <v>4535</v>
      </c>
      <c r="L57">
        <v>0</v>
      </c>
      <c r="M57">
        <v>15118</v>
      </c>
      <c r="N57">
        <v>907</v>
      </c>
      <c r="O57">
        <v>114</v>
      </c>
      <c r="P57">
        <v>150</v>
      </c>
      <c r="Q57">
        <v>-1171</v>
      </c>
      <c r="R57">
        <v>13947</v>
      </c>
    </row>
    <row r="58" spans="1:18">
      <c r="A58" t="s">
        <v>184</v>
      </c>
      <c r="B58" t="s">
        <v>183</v>
      </c>
      <c r="C58" s="17" t="s">
        <v>185</v>
      </c>
      <c r="D58" t="s">
        <v>551</v>
      </c>
      <c r="E58" t="s">
        <v>554</v>
      </c>
      <c r="F58">
        <v>30</v>
      </c>
      <c r="G58">
        <v>0</v>
      </c>
      <c r="H58">
        <v>30</v>
      </c>
      <c r="I58">
        <v>8342</v>
      </c>
      <c r="J58">
        <v>3337</v>
      </c>
      <c r="K58">
        <v>5005</v>
      </c>
      <c r="L58">
        <v>0</v>
      </c>
      <c r="M58">
        <v>16684</v>
      </c>
      <c r="N58">
        <v>1001</v>
      </c>
      <c r="O58">
        <v>126</v>
      </c>
      <c r="P58">
        <v>150</v>
      </c>
      <c r="Q58">
        <v>-1277</v>
      </c>
      <c r="R58">
        <v>15407</v>
      </c>
    </row>
    <row r="59" spans="1:18">
      <c r="A59" t="s">
        <v>187</v>
      </c>
      <c r="B59" t="s">
        <v>186</v>
      </c>
      <c r="C59" s="17" t="s">
        <v>185</v>
      </c>
      <c r="D59" t="s">
        <v>551</v>
      </c>
      <c r="E59" t="s">
        <v>554</v>
      </c>
      <c r="F59">
        <v>30</v>
      </c>
      <c r="G59">
        <v>0</v>
      </c>
      <c r="H59">
        <v>30</v>
      </c>
      <c r="I59">
        <v>8342</v>
      </c>
      <c r="J59">
        <v>3337</v>
      </c>
      <c r="K59">
        <v>5005</v>
      </c>
      <c r="L59">
        <v>0</v>
      </c>
      <c r="M59">
        <v>16684</v>
      </c>
      <c r="N59">
        <v>1001</v>
      </c>
      <c r="O59">
        <v>126</v>
      </c>
      <c r="P59">
        <v>150</v>
      </c>
      <c r="Q59">
        <v>-1277</v>
      </c>
      <c r="R59">
        <v>15407</v>
      </c>
    </row>
    <row r="60" spans="1:18">
      <c r="A60" t="s">
        <v>189</v>
      </c>
      <c r="B60" t="s">
        <v>188</v>
      </c>
      <c r="C60" s="17" t="s">
        <v>190</v>
      </c>
      <c r="D60" t="s">
        <v>551</v>
      </c>
      <c r="E60" t="s">
        <v>554</v>
      </c>
      <c r="F60">
        <v>30</v>
      </c>
      <c r="G60">
        <v>0</v>
      </c>
      <c r="H60">
        <v>30</v>
      </c>
      <c r="I60">
        <v>8271</v>
      </c>
      <c r="J60">
        <v>3308</v>
      </c>
      <c r="K60">
        <v>4963</v>
      </c>
      <c r="L60">
        <v>0</v>
      </c>
      <c r="M60">
        <v>16542</v>
      </c>
      <c r="N60">
        <v>993</v>
      </c>
      <c r="O60">
        <v>125</v>
      </c>
      <c r="P60">
        <v>150</v>
      </c>
      <c r="Q60">
        <v>-1268</v>
      </c>
      <c r="R60">
        <v>15274</v>
      </c>
    </row>
    <row r="61" spans="1:18">
      <c r="A61" t="s">
        <v>192</v>
      </c>
      <c r="B61" t="s">
        <v>191</v>
      </c>
      <c r="C61" s="17" t="s">
        <v>193</v>
      </c>
      <c r="D61" t="s">
        <v>551</v>
      </c>
      <c r="E61" t="s">
        <v>554</v>
      </c>
      <c r="F61">
        <v>30</v>
      </c>
      <c r="G61">
        <v>0</v>
      </c>
      <c r="H61">
        <v>30</v>
      </c>
      <c r="I61">
        <v>8218</v>
      </c>
      <c r="J61">
        <v>3287</v>
      </c>
      <c r="K61">
        <v>4931</v>
      </c>
      <c r="L61">
        <v>0</v>
      </c>
      <c r="M61">
        <v>16436</v>
      </c>
      <c r="N61">
        <v>986</v>
      </c>
      <c r="O61">
        <v>124</v>
      </c>
      <c r="P61">
        <v>150</v>
      </c>
      <c r="Q61">
        <v>-1260</v>
      </c>
      <c r="R61">
        <v>15176</v>
      </c>
    </row>
    <row r="62" spans="1:18">
      <c r="A62" t="s">
        <v>195</v>
      </c>
      <c r="B62" t="s">
        <v>194</v>
      </c>
      <c r="C62" s="17" t="s">
        <v>196</v>
      </c>
      <c r="D62" t="s">
        <v>551</v>
      </c>
      <c r="E62" t="s">
        <v>554</v>
      </c>
      <c r="F62">
        <v>30</v>
      </c>
      <c r="G62">
        <v>0</v>
      </c>
      <c r="H62">
        <v>30</v>
      </c>
      <c r="I62">
        <v>8186</v>
      </c>
      <c r="J62">
        <v>3274</v>
      </c>
      <c r="K62">
        <v>4912</v>
      </c>
      <c r="L62">
        <v>0</v>
      </c>
      <c r="M62">
        <v>16372</v>
      </c>
      <c r="N62">
        <v>982</v>
      </c>
      <c r="O62">
        <v>123</v>
      </c>
      <c r="P62">
        <v>150</v>
      </c>
      <c r="Q62">
        <v>-1255</v>
      </c>
      <c r="R62">
        <v>15117</v>
      </c>
    </row>
    <row r="63" spans="1:18">
      <c r="A63" t="s">
        <v>198</v>
      </c>
      <c r="B63" t="s">
        <v>197</v>
      </c>
      <c r="C63" s="17" t="s">
        <v>196</v>
      </c>
      <c r="D63" t="s">
        <v>551</v>
      </c>
      <c r="E63" t="s">
        <v>554</v>
      </c>
      <c r="F63">
        <v>30</v>
      </c>
      <c r="G63">
        <v>0</v>
      </c>
      <c r="H63">
        <v>30</v>
      </c>
      <c r="I63">
        <v>8186</v>
      </c>
      <c r="J63">
        <v>3274</v>
      </c>
      <c r="K63">
        <v>4912</v>
      </c>
      <c r="L63">
        <v>0</v>
      </c>
      <c r="M63">
        <v>16372</v>
      </c>
      <c r="N63">
        <v>982</v>
      </c>
      <c r="O63">
        <v>123</v>
      </c>
      <c r="P63">
        <v>150</v>
      </c>
      <c r="Q63">
        <v>-1255</v>
      </c>
      <c r="R63">
        <v>15117</v>
      </c>
    </row>
    <row r="64" spans="1:18">
      <c r="A64" t="s">
        <v>200</v>
      </c>
      <c r="B64" t="s">
        <v>199</v>
      </c>
      <c r="C64" s="17" t="s">
        <v>196</v>
      </c>
      <c r="D64" t="s">
        <v>551</v>
      </c>
      <c r="E64" t="s">
        <v>554</v>
      </c>
      <c r="F64">
        <v>30</v>
      </c>
      <c r="G64">
        <v>2</v>
      </c>
      <c r="H64">
        <v>28</v>
      </c>
      <c r="I64">
        <v>7640</v>
      </c>
      <c r="J64">
        <v>3056</v>
      </c>
      <c r="K64">
        <v>4585</v>
      </c>
      <c r="L64">
        <v>0</v>
      </c>
      <c r="M64">
        <v>15281</v>
      </c>
      <c r="N64">
        <v>917</v>
      </c>
      <c r="O64">
        <v>115</v>
      </c>
      <c r="P64">
        <v>150</v>
      </c>
      <c r="Q64">
        <v>-1182</v>
      </c>
      <c r="R64">
        <v>14099</v>
      </c>
    </row>
    <row r="65" spans="1:18">
      <c r="A65" t="s">
        <v>202</v>
      </c>
      <c r="B65" t="s">
        <v>201</v>
      </c>
      <c r="C65" s="17" t="s">
        <v>203</v>
      </c>
      <c r="D65" t="s">
        <v>551</v>
      </c>
      <c r="E65" t="s">
        <v>554</v>
      </c>
      <c r="F65">
        <v>30</v>
      </c>
      <c r="G65">
        <v>0</v>
      </c>
      <c r="H65">
        <v>30</v>
      </c>
      <c r="I65">
        <v>8058</v>
      </c>
      <c r="J65">
        <v>3223</v>
      </c>
      <c r="K65">
        <v>4835</v>
      </c>
      <c r="L65">
        <v>0</v>
      </c>
      <c r="M65">
        <v>16116</v>
      </c>
      <c r="N65">
        <v>967</v>
      </c>
      <c r="O65">
        <v>121</v>
      </c>
      <c r="P65">
        <v>150</v>
      </c>
      <c r="Q65">
        <v>-1238</v>
      </c>
      <c r="R65">
        <v>14878</v>
      </c>
    </row>
    <row r="66" spans="1:18">
      <c r="A66" t="s">
        <v>205</v>
      </c>
      <c r="B66" t="s">
        <v>204</v>
      </c>
      <c r="C66" s="17" t="s">
        <v>206</v>
      </c>
      <c r="D66" t="s">
        <v>551</v>
      </c>
      <c r="E66" t="s">
        <v>554</v>
      </c>
      <c r="F66">
        <v>30</v>
      </c>
      <c r="G66">
        <v>0</v>
      </c>
      <c r="H66">
        <v>30</v>
      </c>
      <c r="I66">
        <v>8024</v>
      </c>
      <c r="J66">
        <v>3209</v>
      </c>
      <c r="K66">
        <v>4814</v>
      </c>
      <c r="L66">
        <v>0</v>
      </c>
      <c r="M66">
        <v>16047</v>
      </c>
      <c r="N66">
        <v>963</v>
      </c>
      <c r="O66">
        <v>121</v>
      </c>
      <c r="P66">
        <v>150</v>
      </c>
      <c r="Q66">
        <v>-1234</v>
      </c>
      <c r="R66">
        <v>14813</v>
      </c>
    </row>
    <row r="67" spans="1:18">
      <c r="A67" t="s">
        <v>208</v>
      </c>
      <c r="B67" t="s">
        <v>207</v>
      </c>
      <c r="C67" s="17" t="s">
        <v>209</v>
      </c>
      <c r="D67" t="s">
        <v>551</v>
      </c>
      <c r="E67" t="s">
        <v>554</v>
      </c>
      <c r="F67">
        <v>30</v>
      </c>
      <c r="G67">
        <v>0</v>
      </c>
      <c r="H67">
        <v>30</v>
      </c>
      <c r="I67">
        <v>8016</v>
      </c>
      <c r="J67">
        <v>3206</v>
      </c>
      <c r="K67">
        <v>4809</v>
      </c>
      <c r="L67">
        <v>0</v>
      </c>
      <c r="M67">
        <v>16031</v>
      </c>
      <c r="N67">
        <v>962</v>
      </c>
      <c r="O67">
        <v>121</v>
      </c>
      <c r="P67">
        <v>150</v>
      </c>
      <c r="Q67">
        <v>-1233</v>
      </c>
      <c r="R67">
        <v>14798</v>
      </c>
    </row>
    <row r="68" spans="1:18">
      <c r="A68" t="s">
        <v>211</v>
      </c>
      <c r="B68" t="s">
        <v>210</v>
      </c>
      <c r="C68" s="17" t="s">
        <v>212</v>
      </c>
      <c r="D68" t="s">
        <v>551</v>
      </c>
      <c r="E68" t="s">
        <v>554</v>
      </c>
      <c r="F68">
        <v>30</v>
      </c>
      <c r="G68">
        <v>0</v>
      </c>
      <c r="H68">
        <v>30</v>
      </c>
      <c r="I68">
        <v>8010</v>
      </c>
      <c r="J68">
        <v>3204</v>
      </c>
      <c r="K68">
        <v>4806</v>
      </c>
      <c r="L68">
        <v>0</v>
      </c>
      <c r="M68">
        <v>16020</v>
      </c>
      <c r="N68">
        <v>961</v>
      </c>
      <c r="O68">
        <v>121</v>
      </c>
      <c r="P68">
        <v>150</v>
      </c>
      <c r="Q68">
        <v>-1232</v>
      </c>
      <c r="R68">
        <v>14788</v>
      </c>
    </row>
    <row r="69" spans="1:18">
      <c r="A69" t="s">
        <v>214</v>
      </c>
      <c r="B69" t="s">
        <v>213</v>
      </c>
      <c r="C69" s="17" t="s">
        <v>215</v>
      </c>
      <c r="D69" t="s">
        <v>551</v>
      </c>
      <c r="E69" t="s">
        <v>554</v>
      </c>
      <c r="F69">
        <v>30</v>
      </c>
      <c r="G69">
        <v>0</v>
      </c>
      <c r="H69">
        <v>30</v>
      </c>
      <c r="I69">
        <v>7939</v>
      </c>
      <c r="J69">
        <v>3175</v>
      </c>
      <c r="K69">
        <v>4763</v>
      </c>
      <c r="L69">
        <v>0</v>
      </c>
      <c r="M69">
        <v>15877</v>
      </c>
      <c r="N69">
        <v>953</v>
      </c>
      <c r="O69">
        <v>120</v>
      </c>
      <c r="P69">
        <v>150</v>
      </c>
      <c r="Q69">
        <v>-1223</v>
      </c>
      <c r="R69">
        <v>14654</v>
      </c>
    </row>
    <row r="70" spans="1:18">
      <c r="A70" t="s">
        <v>217</v>
      </c>
      <c r="B70" t="s">
        <v>216</v>
      </c>
      <c r="C70" s="17" t="s">
        <v>218</v>
      </c>
      <c r="D70" t="s">
        <v>551</v>
      </c>
      <c r="E70" t="s">
        <v>554</v>
      </c>
      <c r="F70">
        <v>30</v>
      </c>
      <c r="G70">
        <v>0</v>
      </c>
      <c r="H70">
        <v>30</v>
      </c>
      <c r="I70">
        <v>7717</v>
      </c>
      <c r="J70">
        <v>3087</v>
      </c>
      <c r="K70">
        <v>4630</v>
      </c>
      <c r="L70">
        <v>0</v>
      </c>
      <c r="M70">
        <v>15434</v>
      </c>
      <c r="N70">
        <v>926</v>
      </c>
      <c r="O70">
        <v>116</v>
      </c>
      <c r="P70">
        <v>150</v>
      </c>
      <c r="Q70">
        <v>-1192</v>
      </c>
      <c r="R70">
        <v>14242</v>
      </c>
    </row>
    <row r="71" spans="1:18">
      <c r="A71" t="s">
        <v>220</v>
      </c>
      <c r="B71" t="s">
        <v>219</v>
      </c>
      <c r="C71" s="17" t="s">
        <v>221</v>
      </c>
      <c r="D71" t="s">
        <v>551</v>
      </c>
      <c r="E71" t="s">
        <v>554</v>
      </c>
      <c r="F71">
        <v>30</v>
      </c>
      <c r="G71">
        <v>0</v>
      </c>
      <c r="H71">
        <v>30</v>
      </c>
      <c r="I71">
        <v>7717</v>
      </c>
      <c r="J71">
        <v>3087</v>
      </c>
      <c r="K71">
        <v>4630</v>
      </c>
      <c r="L71">
        <v>0</v>
      </c>
      <c r="M71">
        <v>15434</v>
      </c>
      <c r="N71">
        <v>926</v>
      </c>
      <c r="O71">
        <v>116</v>
      </c>
      <c r="P71">
        <v>150</v>
      </c>
      <c r="Q71">
        <v>-1192</v>
      </c>
      <c r="R71">
        <v>14242</v>
      </c>
    </row>
    <row r="72" spans="1:18">
      <c r="A72" t="s">
        <v>223</v>
      </c>
      <c r="B72" t="s">
        <v>222</v>
      </c>
      <c r="C72" s="17" t="s">
        <v>224</v>
      </c>
      <c r="D72" t="s">
        <v>551</v>
      </c>
      <c r="E72" t="s">
        <v>554</v>
      </c>
      <c r="F72">
        <v>30</v>
      </c>
      <c r="G72">
        <v>0</v>
      </c>
      <c r="H72">
        <v>30</v>
      </c>
      <c r="I72">
        <v>7717</v>
      </c>
      <c r="J72">
        <v>3087</v>
      </c>
      <c r="K72">
        <v>4630</v>
      </c>
      <c r="L72">
        <v>0</v>
      </c>
      <c r="M72">
        <v>15434</v>
      </c>
      <c r="N72">
        <v>926</v>
      </c>
      <c r="O72">
        <v>116</v>
      </c>
      <c r="P72">
        <v>150</v>
      </c>
      <c r="Q72">
        <v>-1192</v>
      </c>
      <c r="R72">
        <v>14242</v>
      </c>
    </row>
    <row r="73" spans="1:18">
      <c r="A73" t="s">
        <v>226</v>
      </c>
      <c r="B73" t="s">
        <v>225</v>
      </c>
      <c r="C73" s="17" t="s">
        <v>227</v>
      </c>
      <c r="D73" t="s">
        <v>551</v>
      </c>
      <c r="E73" t="s">
        <v>554</v>
      </c>
      <c r="F73">
        <v>30</v>
      </c>
      <c r="G73">
        <v>0</v>
      </c>
      <c r="H73">
        <v>30</v>
      </c>
      <c r="I73">
        <v>7717</v>
      </c>
      <c r="J73">
        <v>3087</v>
      </c>
      <c r="K73">
        <v>4630</v>
      </c>
      <c r="L73">
        <v>0</v>
      </c>
      <c r="M73">
        <v>15434</v>
      </c>
      <c r="N73">
        <v>926</v>
      </c>
      <c r="O73">
        <v>116</v>
      </c>
      <c r="P73">
        <v>150</v>
      </c>
      <c r="Q73">
        <v>-1192</v>
      </c>
      <c r="R73">
        <v>14242</v>
      </c>
    </row>
    <row r="74" spans="1:18">
      <c r="A74" t="s">
        <v>229</v>
      </c>
      <c r="B74" t="s">
        <v>228</v>
      </c>
      <c r="C74" s="17" t="s">
        <v>230</v>
      </c>
      <c r="D74" t="s">
        <v>551</v>
      </c>
      <c r="E74" t="s">
        <v>554</v>
      </c>
      <c r="F74">
        <v>30</v>
      </c>
      <c r="G74">
        <v>0</v>
      </c>
      <c r="H74">
        <v>30</v>
      </c>
      <c r="I74">
        <v>7717</v>
      </c>
      <c r="J74">
        <v>3087</v>
      </c>
      <c r="K74">
        <v>4630</v>
      </c>
      <c r="L74">
        <v>0</v>
      </c>
      <c r="M74">
        <v>15434</v>
      </c>
      <c r="N74">
        <v>926</v>
      </c>
      <c r="O74">
        <v>116</v>
      </c>
      <c r="P74">
        <v>150</v>
      </c>
      <c r="Q74">
        <v>-1192</v>
      </c>
      <c r="R74">
        <v>14242</v>
      </c>
    </row>
    <row r="75" spans="1:18">
      <c r="A75" t="s">
        <v>232</v>
      </c>
      <c r="B75" t="s">
        <v>231</v>
      </c>
      <c r="C75" s="17" t="s">
        <v>233</v>
      </c>
      <c r="D75" t="s">
        <v>551</v>
      </c>
      <c r="E75" t="s">
        <v>554</v>
      </c>
      <c r="F75">
        <v>30</v>
      </c>
      <c r="G75">
        <v>0</v>
      </c>
      <c r="H75">
        <v>30</v>
      </c>
      <c r="I75">
        <v>7717</v>
      </c>
      <c r="J75">
        <v>3087</v>
      </c>
      <c r="K75">
        <v>4630</v>
      </c>
      <c r="L75">
        <v>0</v>
      </c>
      <c r="M75">
        <v>15434</v>
      </c>
      <c r="N75">
        <v>926</v>
      </c>
      <c r="O75">
        <v>116</v>
      </c>
      <c r="P75">
        <v>150</v>
      </c>
      <c r="Q75">
        <v>-1192</v>
      </c>
      <c r="R75">
        <v>14242</v>
      </c>
    </row>
    <row r="76" spans="1:18">
      <c r="A76" t="s">
        <v>235</v>
      </c>
      <c r="B76" t="s">
        <v>234</v>
      </c>
      <c r="C76" s="17" t="s">
        <v>236</v>
      </c>
      <c r="D76" t="s">
        <v>551</v>
      </c>
      <c r="E76" t="s">
        <v>554</v>
      </c>
      <c r="F76">
        <v>30</v>
      </c>
      <c r="G76">
        <v>0</v>
      </c>
      <c r="H76">
        <v>30</v>
      </c>
      <c r="I76">
        <v>7717</v>
      </c>
      <c r="J76">
        <v>3087</v>
      </c>
      <c r="K76">
        <v>4630</v>
      </c>
      <c r="L76">
        <v>0</v>
      </c>
      <c r="M76">
        <v>15434</v>
      </c>
      <c r="N76">
        <v>926</v>
      </c>
      <c r="O76">
        <v>116</v>
      </c>
      <c r="P76">
        <v>150</v>
      </c>
      <c r="Q76">
        <v>-1192</v>
      </c>
      <c r="R76">
        <v>14242</v>
      </c>
    </row>
    <row r="77" spans="1:18">
      <c r="A77" t="s">
        <v>238</v>
      </c>
      <c r="B77" t="s">
        <v>237</v>
      </c>
      <c r="C77" s="17" t="s">
        <v>239</v>
      </c>
      <c r="D77" t="s">
        <v>551</v>
      </c>
      <c r="E77" t="s">
        <v>554</v>
      </c>
      <c r="F77">
        <v>30</v>
      </c>
      <c r="G77">
        <v>0</v>
      </c>
      <c r="H77">
        <v>30</v>
      </c>
      <c r="I77">
        <v>7717</v>
      </c>
      <c r="J77">
        <v>3087</v>
      </c>
      <c r="K77">
        <v>4630</v>
      </c>
      <c r="L77">
        <v>0</v>
      </c>
      <c r="M77">
        <v>15434</v>
      </c>
      <c r="N77">
        <v>926</v>
      </c>
      <c r="O77">
        <v>116</v>
      </c>
      <c r="P77">
        <v>150</v>
      </c>
      <c r="Q77">
        <v>-1192</v>
      </c>
      <c r="R77">
        <v>14242</v>
      </c>
    </row>
    <row r="78" spans="1:18">
      <c r="A78" t="s">
        <v>241</v>
      </c>
      <c r="B78" t="s">
        <v>240</v>
      </c>
      <c r="C78" s="17" t="s">
        <v>242</v>
      </c>
      <c r="D78" t="s">
        <v>551</v>
      </c>
      <c r="E78" t="s">
        <v>554</v>
      </c>
      <c r="F78">
        <v>30</v>
      </c>
      <c r="G78">
        <v>0</v>
      </c>
      <c r="H78">
        <v>30</v>
      </c>
      <c r="I78">
        <v>7717</v>
      </c>
      <c r="J78">
        <v>3087</v>
      </c>
      <c r="K78">
        <v>4630</v>
      </c>
      <c r="L78">
        <v>0</v>
      </c>
      <c r="M78">
        <v>15434</v>
      </c>
      <c r="N78">
        <v>926</v>
      </c>
      <c r="O78">
        <v>116</v>
      </c>
      <c r="P78">
        <v>150</v>
      </c>
      <c r="Q78">
        <v>-1192</v>
      </c>
      <c r="R78">
        <v>14242</v>
      </c>
    </row>
    <row r="79" spans="1:18">
      <c r="A79" t="s">
        <v>244</v>
      </c>
      <c r="B79" t="s">
        <v>243</v>
      </c>
      <c r="C79" s="17" t="s">
        <v>245</v>
      </c>
      <c r="D79" t="s">
        <v>551</v>
      </c>
      <c r="E79" t="s">
        <v>554</v>
      </c>
      <c r="F79">
        <v>30</v>
      </c>
      <c r="G79">
        <v>0</v>
      </c>
      <c r="H79">
        <v>30</v>
      </c>
      <c r="I79">
        <v>7717</v>
      </c>
      <c r="J79">
        <v>3087</v>
      </c>
      <c r="K79">
        <v>4630</v>
      </c>
      <c r="L79">
        <v>0</v>
      </c>
      <c r="M79">
        <v>15434</v>
      </c>
      <c r="N79">
        <v>926</v>
      </c>
      <c r="O79">
        <v>116</v>
      </c>
      <c r="P79">
        <v>150</v>
      </c>
      <c r="Q79">
        <v>-1192</v>
      </c>
      <c r="R79">
        <v>14242</v>
      </c>
    </row>
    <row r="80" spans="1:18">
      <c r="A80" t="s">
        <v>247</v>
      </c>
      <c r="B80" t="s">
        <v>246</v>
      </c>
      <c r="C80" s="17" t="s">
        <v>248</v>
      </c>
      <c r="D80" t="s">
        <v>551</v>
      </c>
      <c r="E80" t="s">
        <v>554</v>
      </c>
      <c r="F80">
        <v>30</v>
      </c>
      <c r="G80">
        <v>0</v>
      </c>
      <c r="H80">
        <v>30</v>
      </c>
      <c r="I80">
        <v>7717</v>
      </c>
      <c r="J80">
        <v>3087</v>
      </c>
      <c r="K80">
        <v>4630</v>
      </c>
      <c r="L80">
        <v>0</v>
      </c>
      <c r="M80">
        <v>15434</v>
      </c>
      <c r="N80">
        <v>926</v>
      </c>
      <c r="O80">
        <v>116</v>
      </c>
      <c r="P80">
        <v>150</v>
      </c>
      <c r="Q80">
        <v>-1192</v>
      </c>
      <c r="R80">
        <v>14242</v>
      </c>
    </row>
    <row r="81" spans="1:18">
      <c r="A81" t="s">
        <v>250</v>
      </c>
      <c r="B81" t="s">
        <v>249</v>
      </c>
      <c r="C81" s="17" t="s">
        <v>251</v>
      </c>
      <c r="D81" t="s">
        <v>551</v>
      </c>
      <c r="E81" t="s">
        <v>554</v>
      </c>
      <c r="F81">
        <v>30</v>
      </c>
      <c r="G81">
        <v>0</v>
      </c>
      <c r="H81">
        <v>30</v>
      </c>
      <c r="I81">
        <v>7717</v>
      </c>
      <c r="J81">
        <v>3087</v>
      </c>
      <c r="K81">
        <v>4630</v>
      </c>
      <c r="L81">
        <v>0</v>
      </c>
      <c r="M81">
        <v>15434</v>
      </c>
      <c r="N81">
        <v>926</v>
      </c>
      <c r="O81">
        <v>116</v>
      </c>
      <c r="P81">
        <v>150</v>
      </c>
      <c r="Q81">
        <v>-1192</v>
      </c>
      <c r="R81">
        <v>14242</v>
      </c>
    </row>
    <row r="82" spans="1:18">
      <c r="A82" t="s">
        <v>253</v>
      </c>
      <c r="B82" t="s">
        <v>252</v>
      </c>
      <c r="C82" s="17" t="s">
        <v>251</v>
      </c>
      <c r="D82" t="s">
        <v>551</v>
      </c>
      <c r="E82" t="s">
        <v>554</v>
      </c>
      <c r="F82">
        <v>30</v>
      </c>
      <c r="G82">
        <v>0</v>
      </c>
      <c r="H82">
        <v>30</v>
      </c>
      <c r="I82">
        <v>7717</v>
      </c>
      <c r="J82">
        <v>3087</v>
      </c>
      <c r="K82">
        <v>4630</v>
      </c>
      <c r="L82">
        <v>0</v>
      </c>
      <c r="M82">
        <v>15434</v>
      </c>
      <c r="N82">
        <v>926</v>
      </c>
      <c r="O82">
        <v>116</v>
      </c>
      <c r="P82">
        <v>150</v>
      </c>
      <c r="Q82">
        <v>-1192</v>
      </c>
      <c r="R82">
        <v>14242</v>
      </c>
    </row>
    <row r="83" spans="1:18">
      <c r="A83" t="s">
        <v>255</v>
      </c>
      <c r="B83" t="s">
        <v>254</v>
      </c>
      <c r="C83" s="17" t="s">
        <v>251</v>
      </c>
      <c r="D83" t="s">
        <v>551</v>
      </c>
      <c r="E83" t="s">
        <v>554</v>
      </c>
      <c r="F83">
        <v>30</v>
      </c>
      <c r="G83">
        <v>0</v>
      </c>
      <c r="H83">
        <v>30</v>
      </c>
      <c r="I83">
        <v>7717</v>
      </c>
      <c r="J83">
        <v>3087</v>
      </c>
      <c r="K83">
        <v>4630</v>
      </c>
      <c r="L83">
        <v>0</v>
      </c>
      <c r="M83">
        <v>15434</v>
      </c>
      <c r="N83">
        <v>926</v>
      </c>
      <c r="O83">
        <v>116</v>
      </c>
      <c r="P83">
        <v>150</v>
      </c>
      <c r="Q83">
        <v>-1192</v>
      </c>
      <c r="R83">
        <v>14242</v>
      </c>
    </row>
    <row r="84" spans="1:18">
      <c r="A84" t="s">
        <v>257</v>
      </c>
      <c r="B84" t="s">
        <v>256</v>
      </c>
      <c r="C84" s="17" t="s">
        <v>251</v>
      </c>
      <c r="D84" t="s">
        <v>551</v>
      </c>
      <c r="E84" t="s">
        <v>554</v>
      </c>
      <c r="F84">
        <v>30</v>
      </c>
      <c r="G84">
        <v>0</v>
      </c>
      <c r="H84">
        <v>30</v>
      </c>
      <c r="I84">
        <v>7717</v>
      </c>
      <c r="J84">
        <v>3087</v>
      </c>
      <c r="K84">
        <v>4630</v>
      </c>
      <c r="L84">
        <v>0</v>
      </c>
      <c r="M84">
        <v>15434</v>
      </c>
      <c r="N84">
        <v>926</v>
      </c>
      <c r="O84">
        <v>116</v>
      </c>
      <c r="P84">
        <v>150</v>
      </c>
      <c r="Q84">
        <v>-1192</v>
      </c>
      <c r="R84">
        <v>14242</v>
      </c>
    </row>
    <row r="85" spans="1:18">
      <c r="A85" t="s">
        <v>259</v>
      </c>
      <c r="B85" t="s">
        <v>258</v>
      </c>
      <c r="C85" s="17" t="s">
        <v>260</v>
      </c>
      <c r="D85" t="s">
        <v>551</v>
      </c>
      <c r="E85" t="s">
        <v>554</v>
      </c>
      <c r="F85">
        <v>30</v>
      </c>
      <c r="G85">
        <v>0</v>
      </c>
      <c r="H85">
        <v>30</v>
      </c>
      <c r="I85">
        <v>7717</v>
      </c>
      <c r="J85">
        <v>3087</v>
      </c>
      <c r="K85">
        <v>4630</v>
      </c>
      <c r="L85">
        <v>0</v>
      </c>
      <c r="M85">
        <v>15434</v>
      </c>
      <c r="N85">
        <v>926</v>
      </c>
      <c r="O85">
        <v>116</v>
      </c>
      <c r="P85">
        <v>150</v>
      </c>
      <c r="Q85">
        <v>-1192</v>
      </c>
      <c r="R85">
        <v>14242</v>
      </c>
    </row>
    <row r="86" spans="1:18">
      <c r="A86" t="s">
        <v>262</v>
      </c>
      <c r="B86" t="s">
        <v>261</v>
      </c>
      <c r="C86" s="17" t="s">
        <v>260</v>
      </c>
      <c r="D86" t="s">
        <v>551</v>
      </c>
      <c r="E86" t="s">
        <v>554</v>
      </c>
      <c r="F86">
        <v>30</v>
      </c>
      <c r="G86">
        <v>30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>
      <c r="A87" t="s">
        <v>264</v>
      </c>
      <c r="B87" t="s">
        <v>263</v>
      </c>
      <c r="C87" s="17" t="s">
        <v>265</v>
      </c>
      <c r="D87" t="s">
        <v>551</v>
      </c>
      <c r="E87" t="s">
        <v>554</v>
      </c>
      <c r="F87">
        <v>30</v>
      </c>
      <c r="G87">
        <v>0</v>
      </c>
      <c r="H87">
        <v>30</v>
      </c>
      <c r="I87">
        <v>7717</v>
      </c>
      <c r="J87">
        <v>3087</v>
      </c>
      <c r="K87">
        <v>4630</v>
      </c>
      <c r="L87">
        <v>0</v>
      </c>
      <c r="M87">
        <v>15434</v>
      </c>
      <c r="N87">
        <v>926</v>
      </c>
      <c r="O87">
        <v>116</v>
      </c>
      <c r="P87">
        <v>150</v>
      </c>
      <c r="Q87">
        <v>-1192</v>
      </c>
      <c r="R87">
        <v>14242</v>
      </c>
    </row>
    <row r="88" spans="1:18">
      <c r="A88" t="s">
        <v>267</v>
      </c>
      <c r="B88" t="s">
        <v>266</v>
      </c>
      <c r="C88" s="17" t="s">
        <v>265</v>
      </c>
      <c r="D88" t="s">
        <v>551</v>
      </c>
      <c r="E88" t="s">
        <v>554</v>
      </c>
      <c r="F88">
        <v>30</v>
      </c>
      <c r="G88">
        <v>23</v>
      </c>
      <c r="H88">
        <v>7</v>
      </c>
      <c r="I88">
        <v>1801</v>
      </c>
      <c r="J88">
        <v>720</v>
      </c>
      <c r="K88">
        <v>1080</v>
      </c>
      <c r="L88">
        <v>0</v>
      </c>
      <c r="M88">
        <v>3601</v>
      </c>
      <c r="N88">
        <v>216</v>
      </c>
      <c r="O88">
        <v>28</v>
      </c>
      <c r="P88">
        <v>0</v>
      </c>
      <c r="Q88">
        <v>-244</v>
      </c>
      <c r="R88">
        <v>3357</v>
      </c>
    </row>
    <row r="89" spans="1:18">
      <c r="A89" t="s">
        <v>269</v>
      </c>
      <c r="B89" t="s">
        <v>268</v>
      </c>
      <c r="C89" s="17" t="s">
        <v>270</v>
      </c>
      <c r="D89" t="s">
        <v>551</v>
      </c>
      <c r="E89" t="s">
        <v>554</v>
      </c>
      <c r="F89">
        <v>30</v>
      </c>
      <c r="G89">
        <v>0</v>
      </c>
      <c r="H89">
        <v>30</v>
      </c>
      <c r="I89">
        <v>7717</v>
      </c>
      <c r="J89">
        <v>3087</v>
      </c>
      <c r="K89">
        <v>4630</v>
      </c>
      <c r="L89">
        <v>0</v>
      </c>
      <c r="M89">
        <v>15434</v>
      </c>
      <c r="N89">
        <v>926</v>
      </c>
      <c r="O89">
        <v>116</v>
      </c>
      <c r="P89">
        <v>150</v>
      </c>
      <c r="Q89">
        <v>-1192</v>
      </c>
      <c r="R89">
        <v>14242</v>
      </c>
    </row>
    <row r="90" spans="1:18">
      <c r="A90" t="s">
        <v>272</v>
      </c>
      <c r="B90" t="s">
        <v>271</v>
      </c>
      <c r="C90" s="17" t="s">
        <v>273</v>
      </c>
      <c r="D90" t="s">
        <v>551</v>
      </c>
      <c r="E90" t="s">
        <v>554</v>
      </c>
      <c r="F90">
        <v>30</v>
      </c>
      <c r="G90">
        <v>0</v>
      </c>
      <c r="H90">
        <v>30</v>
      </c>
      <c r="I90">
        <v>7717</v>
      </c>
      <c r="J90">
        <v>3087</v>
      </c>
      <c r="K90">
        <v>4630</v>
      </c>
      <c r="L90">
        <v>0</v>
      </c>
      <c r="M90">
        <v>15434</v>
      </c>
      <c r="N90">
        <v>926</v>
      </c>
      <c r="O90">
        <v>116</v>
      </c>
      <c r="P90">
        <v>150</v>
      </c>
      <c r="Q90">
        <v>-1192</v>
      </c>
      <c r="R90">
        <v>14242</v>
      </c>
    </row>
    <row r="91" spans="1:18">
      <c r="A91" t="s">
        <v>275</v>
      </c>
      <c r="B91" t="s">
        <v>274</v>
      </c>
      <c r="C91" s="17" t="s">
        <v>276</v>
      </c>
      <c r="D91" t="s">
        <v>551</v>
      </c>
      <c r="E91" t="s">
        <v>554</v>
      </c>
      <c r="F91">
        <v>30</v>
      </c>
      <c r="G91">
        <v>0</v>
      </c>
      <c r="H91">
        <v>30</v>
      </c>
      <c r="I91">
        <v>7717</v>
      </c>
      <c r="J91">
        <v>3087</v>
      </c>
      <c r="K91">
        <v>4630</v>
      </c>
      <c r="L91">
        <v>0</v>
      </c>
      <c r="M91">
        <v>15434</v>
      </c>
      <c r="N91">
        <v>926</v>
      </c>
      <c r="O91">
        <v>116</v>
      </c>
      <c r="P91">
        <v>150</v>
      </c>
      <c r="Q91">
        <v>-1192</v>
      </c>
      <c r="R91">
        <v>14242</v>
      </c>
    </row>
    <row r="92" spans="1:18">
      <c r="A92" t="s">
        <v>278</v>
      </c>
      <c r="B92" t="s">
        <v>277</v>
      </c>
      <c r="C92" s="17" t="s">
        <v>279</v>
      </c>
      <c r="D92" t="s">
        <v>551</v>
      </c>
      <c r="E92" t="s">
        <v>554</v>
      </c>
      <c r="F92">
        <v>30</v>
      </c>
      <c r="G92">
        <v>0</v>
      </c>
      <c r="H92">
        <v>30</v>
      </c>
      <c r="I92">
        <v>11348</v>
      </c>
      <c r="J92">
        <v>4539</v>
      </c>
      <c r="K92">
        <v>6809</v>
      </c>
      <c r="L92">
        <v>0</v>
      </c>
      <c r="M92">
        <v>22696</v>
      </c>
      <c r="N92">
        <v>1362</v>
      </c>
      <c r="O92">
        <v>0</v>
      </c>
      <c r="P92">
        <v>200</v>
      </c>
      <c r="Q92">
        <v>-1562</v>
      </c>
      <c r="R92">
        <v>21134</v>
      </c>
    </row>
    <row r="93" spans="1:18">
      <c r="A93" t="s">
        <v>281</v>
      </c>
      <c r="B93" t="s">
        <v>280</v>
      </c>
      <c r="C93" s="17" t="s">
        <v>282</v>
      </c>
      <c r="D93" t="s">
        <v>551</v>
      </c>
      <c r="E93" t="s">
        <v>554</v>
      </c>
      <c r="F93">
        <v>30</v>
      </c>
      <c r="G93">
        <v>0</v>
      </c>
      <c r="H93">
        <v>30</v>
      </c>
      <c r="I93">
        <v>7717</v>
      </c>
      <c r="J93">
        <v>3087</v>
      </c>
      <c r="K93">
        <v>4630</v>
      </c>
      <c r="L93">
        <v>0</v>
      </c>
      <c r="M93">
        <v>15434</v>
      </c>
      <c r="N93">
        <v>926</v>
      </c>
      <c r="O93">
        <v>116</v>
      </c>
      <c r="P93">
        <v>150</v>
      </c>
      <c r="Q93">
        <v>-1192</v>
      </c>
      <c r="R93">
        <v>14242</v>
      </c>
    </row>
    <row r="94" spans="1:18">
      <c r="A94" t="s">
        <v>284</v>
      </c>
      <c r="B94" t="s">
        <v>283</v>
      </c>
      <c r="C94" s="17" t="s">
        <v>282</v>
      </c>
      <c r="D94" t="s">
        <v>551</v>
      </c>
      <c r="E94" t="s">
        <v>554</v>
      </c>
      <c r="F94">
        <v>30</v>
      </c>
      <c r="G94">
        <v>0</v>
      </c>
      <c r="H94">
        <v>30</v>
      </c>
      <c r="I94">
        <v>7717</v>
      </c>
      <c r="J94">
        <v>3087</v>
      </c>
      <c r="K94">
        <v>4630</v>
      </c>
      <c r="L94">
        <v>0</v>
      </c>
      <c r="M94">
        <v>15434</v>
      </c>
      <c r="N94">
        <v>926</v>
      </c>
      <c r="O94">
        <v>116</v>
      </c>
      <c r="P94">
        <v>150</v>
      </c>
      <c r="Q94">
        <v>-1192</v>
      </c>
      <c r="R94">
        <v>14242</v>
      </c>
    </row>
    <row r="95" spans="1:18">
      <c r="A95" t="s">
        <v>286</v>
      </c>
      <c r="B95" t="s">
        <v>285</v>
      </c>
      <c r="C95" s="17" t="s">
        <v>287</v>
      </c>
      <c r="D95" t="s">
        <v>551</v>
      </c>
      <c r="E95" t="s">
        <v>554</v>
      </c>
      <c r="F95">
        <v>30</v>
      </c>
      <c r="G95">
        <v>0</v>
      </c>
      <c r="H95">
        <v>30</v>
      </c>
      <c r="I95">
        <v>8403</v>
      </c>
      <c r="J95">
        <v>3361</v>
      </c>
      <c r="K95">
        <v>5042</v>
      </c>
      <c r="L95">
        <v>0</v>
      </c>
      <c r="M95">
        <v>16806</v>
      </c>
      <c r="N95">
        <v>1008</v>
      </c>
      <c r="O95">
        <v>127</v>
      </c>
      <c r="P95">
        <v>150</v>
      </c>
      <c r="Q95">
        <v>-1285</v>
      </c>
      <c r="R95">
        <v>15521</v>
      </c>
    </row>
    <row r="96" spans="1:18">
      <c r="A96" t="s">
        <v>289</v>
      </c>
      <c r="B96" t="s">
        <v>288</v>
      </c>
      <c r="C96" s="17" t="s">
        <v>290</v>
      </c>
      <c r="D96" t="s">
        <v>551</v>
      </c>
      <c r="E96" t="s">
        <v>554</v>
      </c>
      <c r="F96">
        <v>30</v>
      </c>
      <c r="G96">
        <v>0</v>
      </c>
      <c r="H96">
        <v>30</v>
      </c>
      <c r="I96">
        <v>7717</v>
      </c>
      <c r="J96">
        <v>3087</v>
      </c>
      <c r="K96">
        <v>4630</v>
      </c>
      <c r="L96">
        <v>0</v>
      </c>
      <c r="M96">
        <v>15434</v>
      </c>
      <c r="N96">
        <v>926</v>
      </c>
      <c r="O96">
        <v>116</v>
      </c>
      <c r="P96">
        <v>150</v>
      </c>
      <c r="Q96">
        <v>-1192</v>
      </c>
      <c r="R96">
        <v>14242</v>
      </c>
    </row>
    <row r="97" spans="1:18">
      <c r="A97" t="s">
        <v>292</v>
      </c>
      <c r="B97" t="s">
        <v>291</v>
      </c>
      <c r="C97" s="17" t="s">
        <v>290</v>
      </c>
      <c r="D97" t="s">
        <v>551</v>
      </c>
      <c r="E97" t="s">
        <v>554</v>
      </c>
      <c r="F97">
        <v>30</v>
      </c>
      <c r="G97">
        <v>0</v>
      </c>
      <c r="H97">
        <v>30</v>
      </c>
      <c r="I97">
        <v>7717</v>
      </c>
      <c r="J97">
        <v>3087</v>
      </c>
      <c r="K97">
        <v>4630</v>
      </c>
      <c r="L97">
        <v>0</v>
      </c>
      <c r="M97">
        <v>15434</v>
      </c>
      <c r="N97">
        <v>926</v>
      </c>
      <c r="O97">
        <v>116</v>
      </c>
      <c r="P97">
        <v>150</v>
      </c>
      <c r="Q97">
        <v>-1192</v>
      </c>
      <c r="R97">
        <v>14242</v>
      </c>
    </row>
    <row r="98" spans="1:18">
      <c r="A98" t="s">
        <v>294</v>
      </c>
      <c r="B98" t="s">
        <v>293</v>
      </c>
      <c r="C98" s="17" t="s">
        <v>295</v>
      </c>
      <c r="D98" t="s">
        <v>551</v>
      </c>
      <c r="E98" t="s">
        <v>554</v>
      </c>
      <c r="F98">
        <v>30</v>
      </c>
      <c r="G98">
        <v>0</v>
      </c>
      <c r="H98">
        <v>30</v>
      </c>
      <c r="I98">
        <v>7717</v>
      </c>
      <c r="J98">
        <v>3087</v>
      </c>
      <c r="K98">
        <v>4630</v>
      </c>
      <c r="L98">
        <v>0</v>
      </c>
      <c r="M98">
        <v>15434</v>
      </c>
      <c r="N98">
        <v>926</v>
      </c>
      <c r="O98">
        <v>116</v>
      </c>
      <c r="P98">
        <v>150</v>
      </c>
      <c r="Q98">
        <v>-1192</v>
      </c>
      <c r="R98">
        <v>14242</v>
      </c>
    </row>
    <row r="99" spans="1:18">
      <c r="A99" t="s">
        <v>297</v>
      </c>
      <c r="B99" t="s">
        <v>296</v>
      </c>
      <c r="C99" s="17" t="s">
        <v>298</v>
      </c>
      <c r="D99" t="s">
        <v>551</v>
      </c>
      <c r="E99" t="s">
        <v>554</v>
      </c>
      <c r="F99">
        <v>30</v>
      </c>
      <c r="G99">
        <v>0</v>
      </c>
      <c r="H99">
        <v>30</v>
      </c>
      <c r="I99">
        <v>7717</v>
      </c>
      <c r="J99">
        <v>3087</v>
      </c>
      <c r="K99">
        <v>4630</v>
      </c>
      <c r="L99">
        <v>0</v>
      </c>
      <c r="M99">
        <v>15434</v>
      </c>
      <c r="N99">
        <v>926</v>
      </c>
      <c r="O99">
        <v>116</v>
      </c>
      <c r="P99">
        <v>150</v>
      </c>
      <c r="Q99">
        <v>-1192</v>
      </c>
      <c r="R99">
        <v>14242</v>
      </c>
    </row>
    <row r="100" spans="1:18">
      <c r="A100" t="s">
        <v>300</v>
      </c>
      <c r="B100" t="s">
        <v>299</v>
      </c>
      <c r="C100" s="17" t="s">
        <v>301</v>
      </c>
      <c r="D100" t="s">
        <v>551</v>
      </c>
      <c r="E100" t="s">
        <v>554</v>
      </c>
      <c r="F100">
        <v>30</v>
      </c>
      <c r="G100">
        <v>0</v>
      </c>
      <c r="H100">
        <v>30</v>
      </c>
      <c r="I100">
        <v>7717</v>
      </c>
      <c r="J100">
        <v>3087</v>
      </c>
      <c r="K100">
        <v>4630</v>
      </c>
      <c r="L100">
        <v>0</v>
      </c>
      <c r="M100">
        <v>15434</v>
      </c>
      <c r="N100">
        <v>926</v>
      </c>
      <c r="O100">
        <v>116</v>
      </c>
      <c r="P100">
        <v>150</v>
      </c>
      <c r="Q100">
        <v>-1192</v>
      </c>
      <c r="R100">
        <v>14242</v>
      </c>
    </row>
    <row r="101" spans="1:18">
      <c r="A101" t="s">
        <v>303</v>
      </c>
      <c r="B101" t="s">
        <v>302</v>
      </c>
      <c r="C101" s="17" t="s">
        <v>304</v>
      </c>
      <c r="D101" t="s">
        <v>551</v>
      </c>
      <c r="E101" t="s">
        <v>554</v>
      </c>
      <c r="F101">
        <v>30</v>
      </c>
      <c r="G101">
        <v>0</v>
      </c>
      <c r="H101">
        <v>30</v>
      </c>
      <c r="I101">
        <v>7717</v>
      </c>
      <c r="J101">
        <v>3087</v>
      </c>
      <c r="K101">
        <v>4630</v>
      </c>
      <c r="L101">
        <v>0</v>
      </c>
      <c r="M101">
        <v>15434</v>
      </c>
      <c r="N101">
        <v>926</v>
      </c>
      <c r="O101">
        <v>116</v>
      </c>
      <c r="P101">
        <v>150</v>
      </c>
      <c r="Q101">
        <v>-1192</v>
      </c>
      <c r="R101">
        <v>14242</v>
      </c>
    </row>
    <row r="102" spans="1:18">
      <c r="A102" t="s">
        <v>306</v>
      </c>
      <c r="B102" t="s">
        <v>305</v>
      </c>
      <c r="C102" s="17" t="s">
        <v>304</v>
      </c>
      <c r="D102" t="s">
        <v>551</v>
      </c>
      <c r="E102" t="s">
        <v>554</v>
      </c>
      <c r="F102">
        <v>30</v>
      </c>
      <c r="G102">
        <v>0</v>
      </c>
      <c r="H102">
        <v>30</v>
      </c>
      <c r="I102">
        <v>7717</v>
      </c>
      <c r="J102">
        <v>3087</v>
      </c>
      <c r="K102">
        <v>4630</v>
      </c>
      <c r="L102">
        <v>0</v>
      </c>
      <c r="M102">
        <v>15434</v>
      </c>
      <c r="N102">
        <v>926</v>
      </c>
      <c r="O102">
        <v>116</v>
      </c>
      <c r="P102">
        <v>150</v>
      </c>
      <c r="Q102">
        <v>-1192</v>
      </c>
      <c r="R102">
        <v>14242</v>
      </c>
    </row>
    <row r="103" spans="1:18">
      <c r="A103" t="s">
        <v>308</v>
      </c>
      <c r="B103" t="s">
        <v>307</v>
      </c>
      <c r="C103" s="17" t="s">
        <v>309</v>
      </c>
      <c r="D103" t="s">
        <v>551</v>
      </c>
      <c r="E103" t="s">
        <v>554</v>
      </c>
      <c r="F103">
        <v>30</v>
      </c>
      <c r="G103">
        <v>0</v>
      </c>
      <c r="H103">
        <v>30</v>
      </c>
      <c r="I103">
        <v>7717</v>
      </c>
      <c r="J103">
        <v>3087</v>
      </c>
      <c r="K103">
        <v>4630</v>
      </c>
      <c r="L103">
        <v>0</v>
      </c>
      <c r="M103">
        <v>15434</v>
      </c>
      <c r="N103">
        <v>926</v>
      </c>
      <c r="O103">
        <v>116</v>
      </c>
      <c r="P103">
        <v>150</v>
      </c>
      <c r="Q103">
        <v>-1192</v>
      </c>
      <c r="R103">
        <v>14242</v>
      </c>
    </row>
    <row r="104" spans="1:18">
      <c r="A104" t="s">
        <v>311</v>
      </c>
      <c r="B104" t="s">
        <v>310</v>
      </c>
      <c r="C104" s="17" t="s">
        <v>312</v>
      </c>
      <c r="D104" t="s">
        <v>551</v>
      </c>
      <c r="E104" t="s">
        <v>554</v>
      </c>
      <c r="F104">
        <v>30</v>
      </c>
      <c r="G104">
        <v>0</v>
      </c>
      <c r="H104">
        <v>30</v>
      </c>
      <c r="I104">
        <v>7717</v>
      </c>
      <c r="J104">
        <v>3087</v>
      </c>
      <c r="K104">
        <v>4630</v>
      </c>
      <c r="L104">
        <v>0</v>
      </c>
      <c r="M104">
        <v>15434</v>
      </c>
      <c r="N104">
        <v>926</v>
      </c>
      <c r="O104">
        <v>116</v>
      </c>
      <c r="P104">
        <v>150</v>
      </c>
      <c r="Q104">
        <v>-1192</v>
      </c>
      <c r="R104">
        <v>14242</v>
      </c>
    </row>
    <row r="105" spans="1:18">
      <c r="A105" t="s">
        <v>314</v>
      </c>
      <c r="B105" t="s">
        <v>313</v>
      </c>
      <c r="C105" s="17" t="s">
        <v>312</v>
      </c>
      <c r="D105" t="s">
        <v>551</v>
      </c>
      <c r="E105" t="s">
        <v>554</v>
      </c>
      <c r="F105">
        <v>30</v>
      </c>
      <c r="G105">
        <v>0</v>
      </c>
      <c r="H105">
        <v>30</v>
      </c>
      <c r="I105">
        <v>8310</v>
      </c>
      <c r="J105">
        <v>3324</v>
      </c>
      <c r="K105">
        <v>4986</v>
      </c>
      <c r="L105">
        <v>0</v>
      </c>
      <c r="M105">
        <v>16620</v>
      </c>
      <c r="N105">
        <v>997</v>
      </c>
      <c r="O105">
        <v>125</v>
      </c>
      <c r="P105">
        <v>150</v>
      </c>
      <c r="Q105">
        <v>-1272</v>
      </c>
      <c r="R105">
        <v>15348</v>
      </c>
    </row>
    <row r="106" spans="1:18">
      <c r="A106" t="s">
        <v>316</v>
      </c>
      <c r="B106" t="s">
        <v>315</v>
      </c>
      <c r="C106" s="17" t="s">
        <v>317</v>
      </c>
      <c r="D106" t="s">
        <v>551</v>
      </c>
      <c r="E106" t="s">
        <v>554</v>
      </c>
      <c r="F106">
        <v>30</v>
      </c>
      <c r="G106">
        <v>0</v>
      </c>
      <c r="H106">
        <v>30</v>
      </c>
      <c r="I106">
        <v>7717</v>
      </c>
      <c r="J106">
        <v>3087</v>
      </c>
      <c r="K106">
        <v>4630</v>
      </c>
      <c r="L106">
        <v>0</v>
      </c>
      <c r="M106">
        <v>15434</v>
      </c>
      <c r="N106">
        <v>926</v>
      </c>
      <c r="O106">
        <v>116</v>
      </c>
      <c r="P106">
        <v>150</v>
      </c>
      <c r="Q106">
        <v>-1192</v>
      </c>
      <c r="R106">
        <v>14242</v>
      </c>
    </row>
    <row r="107" spans="1:18">
      <c r="A107" t="s">
        <v>319</v>
      </c>
      <c r="B107" t="s">
        <v>318</v>
      </c>
      <c r="C107" s="17" t="s">
        <v>317</v>
      </c>
      <c r="D107" t="s">
        <v>551</v>
      </c>
      <c r="E107" t="s">
        <v>554</v>
      </c>
      <c r="F107">
        <v>30</v>
      </c>
      <c r="G107">
        <v>19</v>
      </c>
      <c r="H107">
        <v>11</v>
      </c>
      <c r="I107">
        <v>2830</v>
      </c>
      <c r="J107">
        <v>1132</v>
      </c>
      <c r="K107">
        <v>1698</v>
      </c>
      <c r="L107">
        <v>0</v>
      </c>
      <c r="M107">
        <v>5660</v>
      </c>
      <c r="N107">
        <v>340</v>
      </c>
      <c r="O107">
        <v>43</v>
      </c>
      <c r="P107">
        <v>0</v>
      </c>
      <c r="Q107">
        <v>-383</v>
      </c>
      <c r="R107">
        <v>5277</v>
      </c>
    </row>
    <row r="108" spans="1:18">
      <c r="A108" t="s">
        <v>321</v>
      </c>
      <c r="B108" t="s">
        <v>320</v>
      </c>
      <c r="C108" s="17" t="s">
        <v>322</v>
      </c>
      <c r="D108" t="s">
        <v>551</v>
      </c>
      <c r="E108" t="s">
        <v>554</v>
      </c>
      <c r="F108">
        <v>30</v>
      </c>
      <c r="G108">
        <v>0</v>
      </c>
      <c r="H108">
        <v>30</v>
      </c>
      <c r="I108">
        <v>7717</v>
      </c>
      <c r="J108">
        <v>3087</v>
      </c>
      <c r="K108">
        <v>4630</v>
      </c>
      <c r="L108">
        <v>0</v>
      </c>
      <c r="M108">
        <v>15434</v>
      </c>
      <c r="N108">
        <v>926</v>
      </c>
      <c r="O108">
        <v>116</v>
      </c>
      <c r="P108">
        <v>150</v>
      </c>
      <c r="Q108">
        <v>-1192</v>
      </c>
      <c r="R108">
        <v>14242</v>
      </c>
    </row>
    <row r="109" spans="1:18">
      <c r="A109" t="s">
        <v>324</v>
      </c>
      <c r="B109" t="s">
        <v>323</v>
      </c>
      <c r="C109" s="17" t="s">
        <v>325</v>
      </c>
      <c r="D109" t="s">
        <v>551</v>
      </c>
      <c r="E109" t="s">
        <v>554</v>
      </c>
      <c r="F109">
        <v>30</v>
      </c>
      <c r="G109">
        <v>0</v>
      </c>
      <c r="H109">
        <v>30</v>
      </c>
      <c r="I109">
        <v>7663</v>
      </c>
      <c r="J109">
        <v>3065</v>
      </c>
      <c r="K109">
        <v>4598</v>
      </c>
      <c r="L109">
        <v>0</v>
      </c>
      <c r="M109">
        <v>15326</v>
      </c>
      <c r="N109">
        <v>920</v>
      </c>
      <c r="O109">
        <v>115</v>
      </c>
      <c r="P109">
        <v>150</v>
      </c>
      <c r="Q109">
        <v>-1185</v>
      </c>
      <c r="R109">
        <v>14141</v>
      </c>
    </row>
    <row r="110" spans="1:18">
      <c r="A110" t="s">
        <v>327</v>
      </c>
      <c r="B110" t="s">
        <v>326</v>
      </c>
      <c r="C110" s="17" t="s">
        <v>328</v>
      </c>
      <c r="D110" t="s">
        <v>551</v>
      </c>
      <c r="E110" t="s">
        <v>554</v>
      </c>
      <c r="F110">
        <v>30</v>
      </c>
      <c r="G110">
        <v>0</v>
      </c>
      <c r="H110">
        <v>30</v>
      </c>
      <c r="I110">
        <v>7500</v>
      </c>
      <c r="J110">
        <v>3000</v>
      </c>
      <c r="K110">
        <v>4500</v>
      </c>
      <c r="L110">
        <v>0</v>
      </c>
      <c r="M110">
        <v>15000</v>
      </c>
      <c r="N110">
        <v>900</v>
      </c>
      <c r="O110">
        <v>113</v>
      </c>
      <c r="P110">
        <v>0</v>
      </c>
      <c r="Q110">
        <v>-1013</v>
      </c>
      <c r="R110">
        <v>13987</v>
      </c>
    </row>
    <row r="111" spans="1:18">
      <c r="A111" t="s">
        <v>330</v>
      </c>
      <c r="B111" t="s">
        <v>329</v>
      </c>
      <c r="C111" s="17" t="s">
        <v>331</v>
      </c>
      <c r="D111" t="s">
        <v>551</v>
      </c>
      <c r="E111" t="s">
        <v>554</v>
      </c>
      <c r="F111">
        <v>30</v>
      </c>
      <c r="G111">
        <v>0</v>
      </c>
      <c r="H111">
        <v>30</v>
      </c>
      <c r="I111">
        <v>7500</v>
      </c>
      <c r="J111">
        <v>3000</v>
      </c>
      <c r="K111">
        <v>4500</v>
      </c>
      <c r="L111">
        <v>0</v>
      </c>
      <c r="M111">
        <v>15000</v>
      </c>
      <c r="N111">
        <v>900</v>
      </c>
      <c r="O111">
        <v>113</v>
      </c>
      <c r="P111">
        <v>0</v>
      </c>
      <c r="Q111">
        <v>-1013</v>
      </c>
      <c r="R111">
        <v>13987</v>
      </c>
    </row>
    <row r="112" spans="1:18">
      <c r="A112" t="s">
        <v>333</v>
      </c>
      <c r="B112" t="s">
        <v>332</v>
      </c>
      <c r="C112" s="17" t="s">
        <v>331</v>
      </c>
      <c r="D112" t="s">
        <v>551</v>
      </c>
      <c r="E112" t="s">
        <v>554</v>
      </c>
      <c r="F112">
        <v>30</v>
      </c>
      <c r="G112">
        <v>0</v>
      </c>
      <c r="H112">
        <v>30</v>
      </c>
      <c r="I112">
        <v>7500</v>
      </c>
      <c r="J112">
        <v>3000</v>
      </c>
      <c r="K112">
        <v>4500</v>
      </c>
      <c r="L112">
        <v>0</v>
      </c>
      <c r="M112">
        <v>15000</v>
      </c>
      <c r="N112">
        <v>900</v>
      </c>
      <c r="O112">
        <v>113</v>
      </c>
      <c r="P112">
        <v>0</v>
      </c>
      <c r="Q112">
        <v>-1013</v>
      </c>
      <c r="R112">
        <v>13987</v>
      </c>
    </row>
    <row r="113" spans="1:18">
      <c r="A113" t="s">
        <v>335</v>
      </c>
      <c r="B113" t="s">
        <v>334</v>
      </c>
      <c r="C113" s="17" t="s">
        <v>336</v>
      </c>
      <c r="D113" t="s">
        <v>551</v>
      </c>
      <c r="E113" t="s">
        <v>554</v>
      </c>
      <c r="F113">
        <v>30</v>
      </c>
      <c r="G113">
        <v>0</v>
      </c>
      <c r="H113">
        <v>30</v>
      </c>
      <c r="I113">
        <v>7500</v>
      </c>
      <c r="J113">
        <v>3000</v>
      </c>
      <c r="K113">
        <v>4500</v>
      </c>
      <c r="L113">
        <v>0</v>
      </c>
      <c r="M113">
        <v>15000</v>
      </c>
      <c r="N113">
        <v>900</v>
      </c>
      <c r="O113">
        <v>113</v>
      </c>
      <c r="P113">
        <v>0</v>
      </c>
      <c r="Q113">
        <v>-1013</v>
      </c>
      <c r="R113">
        <v>13987</v>
      </c>
    </row>
    <row r="114" spans="1:18">
      <c r="A114" t="s">
        <v>338</v>
      </c>
      <c r="B114" t="s">
        <v>337</v>
      </c>
      <c r="C114" s="17" t="s">
        <v>339</v>
      </c>
      <c r="D114" t="s">
        <v>551</v>
      </c>
      <c r="E114" t="s">
        <v>554</v>
      </c>
      <c r="F114">
        <v>30</v>
      </c>
      <c r="G114">
        <v>0</v>
      </c>
      <c r="H114">
        <v>30</v>
      </c>
      <c r="I114">
        <v>7500</v>
      </c>
      <c r="J114">
        <v>3000</v>
      </c>
      <c r="K114">
        <v>4500</v>
      </c>
      <c r="L114">
        <v>0</v>
      </c>
      <c r="M114">
        <v>15000</v>
      </c>
      <c r="N114">
        <v>900</v>
      </c>
      <c r="O114">
        <v>113</v>
      </c>
      <c r="P114">
        <v>0</v>
      </c>
      <c r="Q114">
        <v>-1013</v>
      </c>
      <c r="R114">
        <v>13987</v>
      </c>
    </row>
    <row r="115" spans="1:18">
      <c r="A115" t="s">
        <v>341</v>
      </c>
      <c r="B115" t="s">
        <v>340</v>
      </c>
      <c r="C115" s="17" t="s">
        <v>342</v>
      </c>
      <c r="D115" t="s">
        <v>551</v>
      </c>
      <c r="E115" t="s">
        <v>554</v>
      </c>
      <c r="F115">
        <v>30</v>
      </c>
      <c r="G115">
        <v>0</v>
      </c>
      <c r="H115">
        <v>30</v>
      </c>
      <c r="I115">
        <v>7968</v>
      </c>
      <c r="J115">
        <v>3187</v>
      </c>
      <c r="K115">
        <v>4781</v>
      </c>
      <c r="L115">
        <v>0</v>
      </c>
      <c r="M115">
        <v>15936</v>
      </c>
      <c r="N115">
        <v>956</v>
      </c>
      <c r="O115">
        <v>120</v>
      </c>
      <c r="P115">
        <v>150</v>
      </c>
      <c r="Q115">
        <v>-1226</v>
      </c>
      <c r="R115">
        <v>14710</v>
      </c>
    </row>
    <row r="116" spans="1:18">
      <c r="A116" t="s">
        <v>344</v>
      </c>
      <c r="B116" t="s">
        <v>343</v>
      </c>
      <c r="C116" s="17" t="s">
        <v>345</v>
      </c>
      <c r="D116" t="s">
        <v>551</v>
      </c>
      <c r="E116" t="s">
        <v>554</v>
      </c>
      <c r="F116">
        <v>30</v>
      </c>
      <c r="G116">
        <v>0</v>
      </c>
      <c r="H116">
        <v>30</v>
      </c>
      <c r="I116">
        <v>7500</v>
      </c>
      <c r="J116">
        <v>3000</v>
      </c>
      <c r="K116">
        <v>4500</v>
      </c>
      <c r="L116">
        <v>0</v>
      </c>
      <c r="M116">
        <v>15000</v>
      </c>
      <c r="N116">
        <v>900</v>
      </c>
      <c r="O116">
        <v>113</v>
      </c>
      <c r="P116">
        <v>0</v>
      </c>
      <c r="Q116">
        <v>-1013</v>
      </c>
      <c r="R116">
        <v>13987</v>
      </c>
    </row>
    <row r="117" spans="1:18">
      <c r="A117" t="s">
        <v>347</v>
      </c>
      <c r="B117" t="s">
        <v>346</v>
      </c>
      <c r="C117" s="17" t="s">
        <v>348</v>
      </c>
      <c r="D117" t="s">
        <v>551</v>
      </c>
      <c r="E117" t="s">
        <v>554</v>
      </c>
      <c r="F117">
        <v>30</v>
      </c>
      <c r="G117">
        <v>0</v>
      </c>
      <c r="H117">
        <v>30</v>
      </c>
      <c r="I117">
        <v>7500</v>
      </c>
      <c r="J117">
        <v>3000</v>
      </c>
      <c r="K117">
        <v>4500</v>
      </c>
      <c r="L117">
        <v>0</v>
      </c>
      <c r="M117">
        <v>15000</v>
      </c>
      <c r="N117">
        <v>900</v>
      </c>
      <c r="O117">
        <v>113</v>
      </c>
      <c r="P117">
        <v>0</v>
      </c>
      <c r="Q117">
        <v>-1013</v>
      </c>
      <c r="R117">
        <v>13987</v>
      </c>
    </row>
    <row r="118" spans="1:18">
      <c r="A118" t="s">
        <v>350</v>
      </c>
      <c r="B118" t="s">
        <v>349</v>
      </c>
      <c r="C118" s="17" t="s">
        <v>348</v>
      </c>
      <c r="D118" t="s">
        <v>551</v>
      </c>
      <c r="E118" t="s">
        <v>554</v>
      </c>
      <c r="F118">
        <v>30</v>
      </c>
      <c r="G118">
        <v>0</v>
      </c>
      <c r="H118">
        <v>30</v>
      </c>
      <c r="I118">
        <v>7500</v>
      </c>
      <c r="J118">
        <v>3000</v>
      </c>
      <c r="K118">
        <v>4500</v>
      </c>
      <c r="L118">
        <v>0</v>
      </c>
      <c r="M118">
        <v>15000</v>
      </c>
      <c r="N118">
        <v>900</v>
      </c>
      <c r="O118">
        <v>113</v>
      </c>
      <c r="P118">
        <v>0</v>
      </c>
      <c r="Q118">
        <v>-1013</v>
      </c>
      <c r="R118">
        <v>13987</v>
      </c>
    </row>
    <row r="119" spans="1:18">
      <c r="A119" t="s">
        <v>352</v>
      </c>
      <c r="B119" t="s">
        <v>351</v>
      </c>
      <c r="C119" s="17" t="s">
        <v>353</v>
      </c>
      <c r="D119" t="s">
        <v>551</v>
      </c>
      <c r="E119" t="s">
        <v>554</v>
      </c>
      <c r="F119">
        <v>30</v>
      </c>
      <c r="G119">
        <v>2</v>
      </c>
      <c r="H119">
        <v>28</v>
      </c>
      <c r="I119">
        <v>6950</v>
      </c>
      <c r="J119">
        <v>2779</v>
      </c>
      <c r="K119">
        <v>4170</v>
      </c>
      <c r="L119">
        <v>0</v>
      </c>
      <c r="M119">
        <v>13899</v>
      </c>
      <c r="N119">
        <v>834</v>
      </c>
      <c r="O119">
        <v>105</v>
      </c>
      <c r="P119">
        <v>0</v>
      </c>
      <c r="Q119">
        <v>-939</v>
      </c>
      <c r="R119">
        <v>12960</v>
      </c>
    </row>
    <row r="120" spans="1:18">
      <c r="A120" t="s">
        <v>355</v>
      </c>
      <c r="B120" t="s">
        <v>354</v>
      </c>
      <c r="C120" s="17" t="s">
        <v>356</v>
      </c>
      <c r="D120" t="s">
        <v>551</v>
      </c>
      <c r="E120" t="s">
        <v>554</v>
      </c>
      <c r="F120">
        <v>30</v>
      </c>
      <c r="G120">
        <v>0</v>
      </c>
      <c r="H120">
        <v>30</v>
      </c>
      <c r="I120">
        <v>7446</v>
      </c>
      <c r="J120">
        <v>2978</v>
      </c>
      <c r="K120">
        <v>4468</v>
      </c>
      <c r="L120">
        <v>0</v>
      </c>
      <c r="M120">
        <v>14892</v>
      </c>
      <c r="N120">
        <v>894</v>
      </c>
      <c r="O120">
        <v>112</v>
      </c>
      <c r="P120">
        <v>0</v>
      </c>
      <c r="Q120">
        <v>-1006</v>
      </c>
      <c r="R120">
        <v>13886</v>
      </c>
    </row>
    <row r="121" spans="1:18">
      <c r="A121" t="s">
        <v>358</v>
      </c>
      <c r="B121" t="s">
        <v>357</v>
      </c>
      <c r="C121" s="17" t="s">
        <v>356</v>
      </c>
      <c r="D121" t="s">
        <v>551</v>
      </c>
      <c r="E121" t="s">
        <v>554</v>
      </c>
      <c r="F121">
        <v>30</v>
      </c>
      <c r="G121">
        <v>0</v>
      </c>
      <c r="H121">
        <v>30</v>
      </c>
      <c r="I121">
        <v>7446</v>
      </c>
      <c r="J121">
        <v>2978</v>
      </c>
      <c r="K121">
        <v>4468</v>
      </c>
      <c r="L121">
        <v>0</v>
      </c>
      <c r="M121">
        <v>14892</v>
      </c>
      <c r="N121">
        <v>894</v>
      </c>
      <c r="O121">
        <v>112</v>
      </c>
      <c r="P121">
        <v>0</v>
      </c>
      <c r="Q121">
        <v>-1006</v>
      </c>
      <c r="R121">
        <v>13886</v>
      </c>
    </row>
    <row r="122" spans="1:18">
      <c r="A122" t="s">
        <v>360</v>
      </c>
      <c r="B122" t="s">
        <v>359</v>
      </c>
      <c r="C122" s="17" t="s">
        <v>361</v>
      </c>
      <c r="D122" t="s">
        <v>551</v>
      </c>
      <c r="E122" t="s">
        <v>554</v>
      </c>
      <c r="F122">
        <v>30</v>
      </c>
      <c r="G122">
        <v>0</v>
      </c>
      <c r="H122">
        <v>30</v>
      </c>
      <c r="I122">
        <v>7446</v>
      </c>
      <c r="J122">
        <v>2978</v>
      </c>
      <c r="K122">
        <v>4468</v>
      </c>
      <c r="L122">
        <v>0</v>
      </c>
      <c r="M122">
        <v>14892</v>
      </c>
      <c r="N122">
        <v>894</v>
      </c>
      <c r="O122">
        <v>112</v>
      </c>
      <c r="P122">
        <v>0</v>
      </c>
      <c r="Q122">
        <v>-1006</v>
      </c>
      <c r="R122">
        <v>13886</v>
      </c>
    </row>
    <row r="123" spans="1:18">
      <c r="A123" t="s">
        <v>363</v>
      </c>
      <c r="B123" t="s">
        <v>362</v>
      </c>
      <c r="C123" s="17" t="s">
        <v>364</v>
      </c>
      <c r="D123" t="s">
        <v>551</v>
      </c>
      <c r="E123" t="s">
        <v>554</v>
      </c>
      <c r="F123">
        <v>30</v>
      </c>
      <c r="G123">
        <v>0</v>
      </c>
      <c r="H123">
        <v>30</v>
      </c>
      <c r="I123">
        <v>7446</v>
      </c>
      <c r="J123">
        <v>2978</v>
      </c>
      <c r="K123">
        <v>4468</v>
      </c>
      <c r="L123">
        <v>0</v>
      </c>
      <c r="M123">
        <v>14892</v>
      </c>
      <c r="N123">
        <v>894</v>
      </c>
      <c r="O123">
        <v>112</v>
      </c>
      <c r="P123">
        <v>0</v>
      </c>
      <c r="Q123">
        <v>-1006</v>
      </c>
      <c r="R123">
        <v>13886</v>
      </c>
    </row>
    <row r="124" spans="1:18">
      <c r="A124" t="s">
        <v>366</v>
      </c>
      <c r="B124" t="s">
        <v>365</v>
      </c>
      <c r="C124" s="17" t="s">
        <v>364</v>
      </c>
      <c r="D124" t="s">
        <v>551</v>
      </c>
      <c r="E124" t="s">
        <v>554</v>
      </c>
      <c r="F124">
        <v>30</v>
      </c>
      <c r="G124">
        <v>0</v>
      </c>
      <c r="H124">
        <v>30</v>
      </c>
      <c r="I124">
        <v>7446</v>
      </c>
      <c r="J124">
        <v>2978</v>
      </c>
      <c r="K124">
        <v>4468</v>
      </c>
      <c r="L124">
        <v>0</v>
      </c>
      <c r="M124">
        <v>14892</v>
      </c>
      <c r="N124">
        <v>894</v>
      </c>
      <c r="O124">
        <v>112</v>
      </c>
      <c r="P124">
        <v>0</v>
      </c>
      <c r="Q124">
        <v>-1006</v>
      </c>
      <c r="R124">
        <v>13886</v>
      </c>
    </row>
    <row r="125" spans="1:18">
      <c r="A125" t="s">
        <v>368</v>
      </c>
      <c r="B125" t="s">
        <v>367</v>
      </c>
      <c r="C125" s="17" t="s">
        <v>369</v>
      </c>
      <c r="D125" t="s">
        <v>551</v>
      </c>
      <c r="E125" t="s">
        <v>554</v>
      </c>
      <c r="F125">
        <v>30</v>
      </c>
      <c r="G125">
        <v>0</v>
      </c>
      <c r="H125">
        <v>30</v>
      </c>
      <c r="I125">
        <v>7446</v>
      </c>
      <c r="J125">
        <v>2978</v>
      </c>
      <c r="K125">
        <v>4468</v>
      </c>
      <c r="L125">
        <v>0</v>
      </c>
      <c r="M125">
        <v>14892</v>
      </c>
      <c r="N125">
        <v>894</v>
      </c>
      <c r="O125">
        <v>112</v>
      </c>
      <c r="P125">
        <v>0</v>
      </c>
      <c r="Q125">
        <v>-1006</v>
      </c>
      <c r="R125">
        <v>13886</v>
      </c>
    </row>
    <row r="126" spans="1:18">
      <c r="A126" t="s">
        <v>371</v>
      </c>
      <c r="B126" t="s">
        <v>370</v>
      </c>
      <c r="C126" s="17" t="s">
        <v>372</v>
      </c>
      <c r="D126" t="s">
        <v>551</v>
      </c>
      <c r="E126" t="s">
        <v>554</v>
      </c>
      <c r="F126">
        <v>30</v>
      </c>
      <c r="G126">
        <v>0</v>
      </c>
      <c r="H126">
        <v>30</v>
      </c>
      <c r="I126">
        <v>7392</v>
      </c>
      <c r="J126">
        <v>2957</v>
      </c>
      <c r="K126">
        <v>4435</v>
      </c>
      <c r="L126">
        <v>0</v>
      </c>
      <c r="M126">
        <v>14784</v>
      </c>
      <c r="N126">
        <v>887</v>
      </c>
      <c r="O126">
        <v>111</v>
      </c>
      <c r="P126">
        <v>0</v>
      </c>
      <c r="Q126">
        <v>-998</v>
      </c>
      <c r="R126">
        <v>13786</v>
      </c>
    </row>
    <row r="127" spans="1:18">
      <c r="A127" t="s">
        <v>374</v>
      </c>
      <c r="B127" t="s">
        <v>373</v>
      </c>
      <c r="C127" s="17" t="s">
        <v>375</v>
      </c>
      <c r="D127" t="s">
        <v>551</v>
      </c>
      <c r="E127" t="s">
        <v>554</v>
      </c>
      <c r="F127">
        <v>30</v>
      </c>
      <c r="G127">
        <v>0</v>
      </c>
      <c r="H127">
        <v>30</v>
      </c>
      <c r="I127">
        <v>7392</v>
      </c>
      <c r="J127">
        <v>2957</v>
      </c>
      <c r="K127">
        <v>4435</v>
      </c>
      <c r="L127">
        <v>0</v>
      </c>
      <c r="M127">
        <v>14784</v>
      </c>
      <c r="N127">
        <v>887</v>
      </c>
      <c r="O127">
        <v>111</v>
      </c>
      <c r="P127">
        <v>0</v>
      </c>
      <c r="Q127">
        <v>-998</v>
      </c>
      <c r="R127">
        <v>13786</v>
      </c>
    </row>
    <row r="128" spans="1:18">
      <c r="A128" t="s">
        <v>377</v>
      </c>
      <c r="B128" t="s">
        <v>376</v>
      </c>
      <c r="C128" s="17" t="s">
        <v>375</v>
      </c>
      <c r="D128" t="s">
        <v>551</v>
      </c>
      <c r="E128" t="s">
        <v>554</v>
      </c>
      <c r="F128">
        <v>30</v>
      </c>
      <c r="G128">
        <v>0</v>
      </c>
      <c r="H128">
        <v>30</v>
      </c>
      <c r="I128">
        <v>7392</v>
      </c>
      <c r="J128">
        <v>2957</v>
      </c>
      <c r="K128">
        <v>4435</v>
      </c>
      <c r="L128">
        <v>0</v>
      </c>
      <c r="M128">
        <v>14784</v>
      </c>
      <c r="N128">
        <v>887</v>
      </c>
      <c r="O128">
        <v>111</v>
      </c>
      <c r="P128">
        <v>0</v>
      </c>
      <c r="Q128">
        <v>-998</v>
      </c>
      <c r="R128">
        <v>13786</v>
      </c>
    </row>
    <row r="129" spans="1:18">
      <c r="A129" t="s">
        <v>379</v>
      </c>
      <c r="B129" t="s">
        <v>378</v>
      </c>
      <c r="C129" s="17" t="s">
        <v>375</v>
      </c>
      <c r="D129" t="s">
        <v>551</v>
      </c>
      <c r="E129" t="s">
        <v>554</v>
      </c>
      <c r="F129">
        <v>30</v>
      </c>
      <c r="G129">
        <v>0</v>
      </c>
      <c r="H129">
        <v>30</v>
      </c>
      <c r="I129">
        <v>7392</v>
      </c>
      <c r="J129">
        <v>2957</v>
      </c>
      <c r="K129">
        <v>4435</v>
      </c>
      <c r="L129">
        <v>0</v>
      </c>
      <c r="M129">
        <v>14784</v>
      </c>
      <c r="N129">
        <v>887</v>
      </c>
      <c r="O129">
        <v>111</v>
      </c>
      <c r="P129">
        <v>0</v>
      </c>
      <c r="Q129">
        <v>-998</v>
      </c>
      <c r="R129">
        <v>13786</v>
      </c>
    </row>
    <row r="130" spans="1:18">
      <c r="A130" t="s">
        <v>381</v>
      </c>
      <c r="B130" t="s">
        <v>380</v>
      </c>
      <c r="C130" s="17" t="s">
        <v>382</v>
      </c>
      <c r="D130" t="s">
        <v>551</v>
      </c>
      <c r="E130" t="s">
        <v>554</v>
      </c>
      <c r="F130">
        <v>30</v>
      </c>
      <c r="G130">
        <v>0</v>
      </c>
      <c r="H130">
        <v>30</v>
      </c>
      <c r="I130">
        <v>7392</v>
      </c>
      <c r="J130">
        <v>2957</v>
      </c>
      <c r="K130">
        <v>4435</v>
      </c>
      <c r="L130">
        <v>0</v>
      </c>
      <c r="M130">
        <v>14784</v>
      </c>
      <c r="N130">
        <v>887</v>
      </c>
      <c r="O130">
        <v>111</v>
      </c>
      <c r="P130">
        <v>0</v>
      </c>
      <c r="Q130">
        <v>-998</v>
      </c>
      <c r="R130">
        <v>13786</v>
      </c>
    </row>
    <row r="131" spans="1:18">
      <c r="A131" t="s">
        <v>384</v>
      </c>
      <c r="B131" t="s">
        <v>383</v>
      </c>
      <c r="C131" s="17" t="s">
        <v>385</v>
      </c>
      <c r="D131" t="s">
        <v>551</v>
      </c>
      <c r="E131" t="s">
        <v>554</v>
      </c>
      <c r="F131">
        <v>30</v>
      </c>
      <c r="G131">
        <v>0</v>
      </c>
      <c r="H131">
        <v>30</v>
      </c>
      <c r="I131">
        <v>7341</v>
      </c>
      <c r="J131">
        <v>2936</v>
      </c>
      <c r="K131">
        <v>4405</v>
      </c>
      <c r="L131">
        <v>0</v>
      </c>
      <c r="M131">
        <v>14682</v>
      </c>
      <c r="N131">
        <v>881</v>
      </c>
      <c r="O131">
        <v>111</v>
      </c>
      <c r="P131">
        <v>0</v>
      </c>
      <c r="Q131">
        <v>-992</v>
      </c>
      <c r="R131">
        <v>13690</v>
      </c>
    </row>
    <row r="132" spans="1:18">
      <c r="A132" t="s">
        <v>387</v>
      </c>
      <c r="B132" t="s">
        <v>386</v>
      </c>
      <c r="C132" s="17" t="s">
        <v>388</v>
      </c>
      <c r="D132" t="s">
        <v>551</v>
      </c>
      <c r="E132" t="s">
        <v>554</v>
      </c>
      <c r="F132">
        <v>30</v>
      </c>
      <c r="G132">
        <v>0</v>
      </c>
      <c r="H132">
        <v>30</v>
      </c>
      <c r="I132">
        <v>7341</v>
      </c>
      <c r="J132">
        <v>2936</v>
      </c>
      <c r="K132">
        <v>4405</v>
      </c>
      <c r="L132">
        <v>0</v>
      </c>
      <c r="M132">
        <v>14682</v>
      </c>
      <c r="N132">
        <v>881</v>
      </c>
      <c r="O132">
        <v>111</v>
      </c>
      <c r="P132">
        <v>0</v>
      </c>
      <c r="Q132">
        <v>-992</v>
      </c>
      <c r="R132">
        <v>13690</v>
      </c>
    </row>
    <row r="133" spans="1:18">
      <c r="A133" t="s">
        <v>390</v>
      </c>
      <c r="B133" t="s">
        <v>389</v>
      </c>
      <c r="C133" s="17" t="s">
        <v>391</v>
      </c>
      <c r="D133" t="s">
        <v>551</v>
      </c>
      <c r="E133" t="s">
        <v>554</v>
      </c>
      <c r="F133">
        <v>30</v>
      </c>
      <c r="G133">
        <v>30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>
      <c r="A134" t="s">
        <v>393</v>
      </c>
      <c r="B134" t="s">
        <v>392</v>
      </c>
      <c r="C134" s="17" t="s">
        <v>391</v>
      </c>
      <c r="D134" t="s">
        <v>551</v>
      </c>
      <c r="E134" t="s">
        <v>554</v>
      </c>
      <c r="F134">
        <v>30</v>
      </c>
      <c r="G134">
        <v>0</v>
      </c>
      <c r="H134">
        <v>30</v>
      </c>
      <c r="I134">
        <v>7341</v>
      </c>
      <c r="J134">
        <v>2936</v>
      </c>
      <c r="K134">
        <v>4405</v>
      </c>
      <c r="L134">
        <v>0</v>
      </c>
      <c r="M134">
        <v>14682</v>
      </c>
      <c r="N134">
        <v>881</v>
      </c>
      <c r="O134">
        <v>111</v>
      </c>
      <c r="P134">
        <v>0</v>
      </c>
      <c r="Q134">
        <v>-992</v>
      </c>
      <c r="R134">
        <v>13690</v>
      </c>
    </row>
    <row r="135" spans="1:18">
      <c r="A135" t="s">
        <v>395</v>
      </c>
      <c r="B135" t="s">
        <v>394</v>
      </c>
      <c r="C135" s="17" t="s">
        <v>396</v>
      </c>
      <c r="D135" t="s">
        <v>551</v>
      </c>
      <c r="E135" t="s">
        <v>554</v>
      </c>
      <c r="F135">
        <v>30</v>
      </c>
      <c r="G135">
        <v>0</v>
      </c>
      <c r="H135">
        <v>30</v>
      </c>
      <c r="I135">
        <v>7341</v>
      </c>
      <c r="J135">
        <v>2936</v>
      </c>
      <c r="K135">
        <v>4405</v>
      </c>
      <c r="L135">
        <v>0</v>
      </c>
      <c r="M135">
        <v>14682</v>
      </c>
      <c r="N135">
        <v>881</v>
      </c>
      <c r="O135">
        <v>111</v>
      </c>
      <c r="P135">
        <v>0</v>
      </c>
      <c r="Q135">
        <v>-992</v>
      </c>
      <c r="R135">
        <v>13690</v>
      </c>
    </row>
    <row r="136" spans="1:18">
      <c r="A136" t="s">
        <v>398</v>
      </c>
      <c r="B136" t="s">
        <v>397</v>
      </c>
      <c r="C136" s="17" t="s">
        <v>399</v>
      </c>
      <c r="D136" t="s">
        <v>551</v>
      </c>
      <c r="E136" t="s">
        <v>554</v>
      </c>
      <c r="F136">
        <v>30</v>
      </c>
      <c r="G136">
        <v>0</v>
      </c>
      <c r="H136">
        <v>30</v>
      </c>
      <c r="I136">
        <v>7341</v>
      </c>
      <c r="J136">
        <v>2936</v>
      </c>
      <c r="K136">
        <v>4405</v>
      </c>
      <c r="L136">
        <v>0</v>
      </c>
      <c r="M136">
        <v>14682</v>
      </c>
      <c r="N136">
        <v>881</v>
      </c>
      <c r="O136">
        <v>111</v>
      </c>
      <c r="P136">
        <v>0</v>
      </c>
      <c r="Q136">
        <v>-992</v>
      </c>
      <c r="R136">
        <v>13690</v>
      </c>
    </row>
    <row r="137" spans="1:18">
      <c r="A137" t="s">
        <v>401</v>
      </c>
      <c r="B137" t="s">
        <v>400</v>
      </c>
      <c r="C137" s="17" t="s">
        <v>399</v>
      </c>
      <c r="D137" t="s">
        <v>551</v>
      </c>
      <c r="E137" t="s">
        <v>554</v>
      </c>
      <c r="F137">
        <v>30</v>
      </c>
      <c r="G137">
        <v>25</v>
      </c>
      <c r="H137">
        <v>5</v>
      </c>
      <c r="I137">
        <v>1224</v>
      </c>
      <c r="J137">
        <v>489</v>
      </c>
      <c r="K137">
        <v>734</v>
      </c>
      <c r="L137">
        <v>0</v>
      </c>
      <c r="M137">
        <v>2447</v>
      </c>
      <c r="N137">
        <v>147</v>
      </c>
      <c r="O137">
        <v>19</v>
      </c>
      <c r="P137">
        <v>0</v>
      </c>
      <c r="Q137">
        <v>-166</v>
      </c>
      <c r="R137">
        <v>2281</v>
      </c>
    </row>
    <row r="138" spans="1:18">
      <c r="A138" t="s">
        <v>403</v>
      </c>
      <c r="B138" t="s">
        <v>402</v>
      </c>
      <c r="C138" s="17" t="s">
        <v>404</v>
      </c>
      <c r="D138" t="s">
        <v>551</v>
      </c>
      <c r="E138" t="s">
        <v>554</v>
      </c>
      <c r="F138">
        <v>30</v>
      </c>
      <c r="G138">
        <v>0</v>
      </c>
      <c r="H138">
        <v>30</v>
      </c>
      <c r="I138">
        <v>7341</v>
      </c>
      <c r="J138">
        <v>2936</v>
      </c>
      <c r="K138">
        <v>4405</v>
      </c>
      <c r="L138">
        <v>0</v>
      </c>
      <c r="M138">
        <v>14682</v>
      </c>
      <c r="N138">
        <v>881</v>
      </c>
      <c r="O138">
        <v>111</v>
      </c>
      <c r="P138">
        <v>0</v>
      </c>
      <c r="Q138">
        <v>-992</v>
      </c>
      <c r="R138">
        <v>13690</v>
      </c>
    </row>
    <row r="139" spans="1:18">
      <c r="A139" t="s">
        <v>406</v>
      </c>
      <c r="B139" t="s">
        <v>405</v>
      </c>
      <c r="C139" s="17" t="s">
        <v>407</v>
      </c>
      <c r="D139" t="s">
        <v>551</v>
      </c>
      <c r="E139" t="s">
        <v>554</v>
      </c>
      <c r="F139">
        <v>30</v>
      </c>
      <c r="G139">
        <v>0</v>
      </c>
      <c r="H139">
        <v>30</v>
      </c>
      <c r="I139">
        <v>7341</v>
      </c>
      <c r="J139">
        <v>2936</v>
      </c>
      <c r="K139">
        <v>4405</v>
      </c>
      <c r="L139">
        <v>0</v>
      </c>
      <c r="M139">
        <v>14682</v>
      </c>
      <c r="N139">
        <v>881</v>
      </c>
      <c r="O139">
        <v>111</v>
      </c>
      <c r="P139">
        <v>0</v>
      </c>
      <c r="Q139">
        <v>-992</v>
      </c>
      <c r="R139">
        <v>13690</v>
      </c>
    </row>
    <row r="140" spans="1:18">
      <c r="A140" t="s">
        <v>409</v>
      </c>
      <c r="B140" t="s">
        <v>408</v>
      </c>
      <c r="C140" s="17" t="s">
        <v>410</v>
      </c>
      <c r="D140" t="s">
        <v>551</v>
      </c>
      <c r="E140" t="s">
        <v>554</v>
      </c>
      <c r="F140">
        <v>30</v>
      </c>
      <c r="G140">
        <v>2</v>
      </c>
      <c r="H140">
        <v>28</v>
      </c>
      <c r="I140">
        <v>6852</v>
      </c>
      <c r="J140">
        <v>2740</v>
      </c>
      <c r="K140">
        <v>4111</v>
      </c>
      <c r="L140">
        <v>0</v>
      </c>
      <c r="M140">
        <v>13703</v>
      </c>
      <c r="N140">
        <v>822</v>
      </c>
      <c r="O140">
        <v>103</v>
      </c>
      <c r="P140">
        <v>0</v>
      </c>
      <c r="Q140">
        <v>-925</v>
      </c>
      <c r="R140">
        <v>12778</v>
      </c>
    </row>
    <row r="141" spans="1:18">
      <c r="A141" t="s">
        <v>412</v>
      </c>
      <c r="B141" t="s">
        <v>411</v>
      </c>
      <c r="C141" s="17" t="s">
        <v>413</v>
      </c>
      <c r="D141" t="s">
        <v>551</v>
      </c>
      <c r="E141" t="s">
        <v>554</v>
      </c>
      <c r="F141">
        <v>30</v>
      </c>
      <c r="G141">
        <v>0</v>
      </c>
      <c r="H141">
        <v>30</v>
      </c>
      <c r="I141">
        <v>7341</v>
      </c>
      <c r="J141">
        <v>2936</v>
      </c>
      <c r="K141">
        <v>4405</v>
      </c>
      <c r="L141">
        <v>0</v>
      </c>
      <c r="M141">
        <v>14682</v>
      </c>
      <c r="N141">
        <v>881</v>
      </c>
      <c r="O141">
        <v>111</v>
      </c>
      <c r="P141">
        <v>0</v>
      </c>
      <c r="Q141">
        <v>-992</v>
      </c>
      <c r="R141">
        <v>13690</v>
      </c>
    </row>
    <row r="142" spans="1:18">
      <c r="A142" t="s">
        <v>415</v>
      </c>
      <c r="B142" t="s">
        <v>414</v>
      </c>
      <c r="C142" s="17" t="s">
        <v>416</v>
      </c>
      <c r="D142" t="s">
        <v>551</v>
      </c>
      <c r="E142" t="s">
        <v>554</v>
      </c>
      <c r="F142">
        <v>30</v>
      </c>
      <c r="G142">
        <v>0</v>
      </c>
      <c r="H142">
        <v>30</v>
      </c>
      <c r="I142">
        <v>7341</v>
      </c>
      <c r="J142">
        <v>2936</v>
      </c>
      <c r="K142">
        <v>4405</v>
      </c>
      <c r="L142">
        <v>0</v>
      </c>
      <c r="M142">
        <v>14682</v>
      </c>
      <c r="N142">
        <v>881</v>
      </c>
      <c r="O142">
        <v>111</v>
      </c>
      <c r="P142">
        <v>0</v>
      </c>
      <c r="Q142">
        <v>-992</v>
      </c>
      <c r="R142">
        <v>13690</v>
      </c>
    </row>
    <row r="143" spans="1:18">
      <c r="A143" t="s">
        <v>418</v>
      </c>
      <c r="B143" t="s">
        <v>417</v>
      </c>
      <c r="C143" s="17" t="s">
        <v>419</v>
      </c>
      <c r="D143" t="s">
        <v>551</v>
      </c>
      <c r="E143" t="s">
        <v>554</v>
      </c>
      <c r="F143">
        <v>30</v>
      </c>
      <c r="G143">
        <v>27</v>
      </c>
      <c r="H143">
        <v>3</v>
      </c>
      <c r="I143">
        <v>734</v>
      </c>
      <c r="J143">
        <v>294</v>
      </c>
      <c r="K143">
        <v>441</v>
      </c>
      <c r="L143">
        <v>0</v>
      </c>
      <c r="M143">
        <v>1469</v>
      </c>
      <c r="N143">
        <v>88</v>
      </c>
      <c r="O143">
        <v>12</v>
      </c>
      <c r="P143">
        <v>0</v>
      </c>
      <c r="Q143">
        <v>-100</v>
      </c>
      <c r="R143">
        <v>1369</v>
      </c>
    </row>
    <row r="144" spans="1:18">
      <c r="A144" t="s">
        <v>421</v>
      </c>
      <c r="B144" t="s">
        <v>420</v>
      </c>
      <c r="C144" s="17" t="s">
        <v>422</v>
      </c>
      <c r="D144" t="s">
        <v>551</v>
      </c>
      <c r="E144" t="s">
        <v>554</v>
      </c>
      <c r="F144">
        <v>30</v>
      </c>
      <c r="G144">
        <v>0</v>
      </c>
      <c r="H144">
        <v>30</v>
      </c>
      <c r="I144">
        <v>7229</v>
      </c>
      <c r="J144">
        <v>2891</v>
      </c>
      <c r="K144">
        <v>4337</v>
      </c>
      <c r="L144">
        <v>0</v>
      </c>
      <c r="M144">
        <v>14457</v>
      </c>
      <c r="N144">
        <v>867</v>
      </c>
      <c r="O144">
        <v>109</v>
      </c>
      <c r="P144">
        <v>0</v>
      </c>
      <c r="Q144">
        <v>-976</v>
      </c>
      <c r="R144">
        <v>13481</v>
      </c>
    </row>
    <row r="145" spans="1:18">
      <c r="A145" t="s">
        <v>424</v>
      </c>
      <c r="B145" t="s">
        <v>423</v>
      </c>
      <c r="C145" s="17" t="s">
        <v>422</v>
      </c>
      <c r="D145" t="s">
        <v>551</v>
      </c>
      <c r="E145" t="s">
        <v>554</v>
      </c>
      <c r="F145">
        <v>30</v>
      </c>
      <c r="G145">
        <v>0</v>
      </c>
      <c r="H145">
        <v>30</v>
      </c>
      <c r="I145">
        <v>7229</v>
      </c>
      <c r="J145">
        <v>2892</v>
      </c>
      <c r="K145">
        <v>4338</v>
      </c>
      <c r="L145">
        <v>0</v>
      </c>
      <c r="M145">
        <v>14459</v>
      </c>
      <c r="N145">
        <v>867</v>
      </c>
      <c r="O145">
        <v>109</v>
      </c>
      <c r="P145">
        <v>0</v>
      </c>
      <c r="Q145">
        <v>-976</v>
      </c>
      <c r="R145">
        <v>13483</v>
      </c>
    </row>
    <row r="146" spans="1:18">
      <c r="A146" t="s">
        <v>426</v>
      </c>
      <c r="B146" t="s">
        <v>425</v>
      </c>
      <c r="C146" s="17" t="s">
        <v>422</v>
      </c>
      <c r="D146" t="s">
        <v>551</v>
      </c>
      <c r="E146" t="s">
        <v>554</v>
      </c>
      <c r="F146">
        <v>30</v>
      </c>
      <c r="G146">
        <v>0</v>
      </c>
      <c r="H146">
        <v>30</v>
      </c>
      <c r="I146">
        <v>7229</v>
      </c>
      <c r="J146">
        <v>2892</v>
      </c>
      <c r="K146">
        <v>4338</v>
      </c>
      <c r="L146">
        <v>0</v>
      </c>
      <c r="M146">
        <v>14459</v>
      </c>
      <c r="N146">
        <v>867</v>
      </c>
      <c r="O146">
        <v>109</v>
      </c>
      <c r="P146">
        <v>0</v>
      </c>
      <c r="Q146">
        <v>-976</v>
      </c>
      <c r="R146">
        <v>13483</v>
      </c>
    </row>
    <row r="147" spans="1:18">
      <c r="A147" t="s">
        <v>428</v>
      </c>
      <c r="B147" t="s">
        <v>427</v>
      </c>
      <c r="C147" s="17" t="s">
        <v>429</v>
      </c>
      <c r="D147" t="s">
        <v>551</v>
      </c>
      <c r="E147" t="s">
        <v>554</v>
      </c>
      <c r="F147">
        <v>30</v>
      </c>
      <c r="G147">
        <v>0</v>
      </c>
      <c r="H147">
        <v>30</v>
      </c>
      <c r="I147">
        <v>7229</v>
      </c>
      <c r="J147">
        <v>2892</v>
      </c>
      <c r="K147">
        <v>4338</v>
      </c>
      <c r="L147">
        <v>0</v>
      </c>
      <c r="M147">
        <v>14459</v>
      </c>
      <c r="N147">
        <v>867</v>
      </c>
      <c r="O147">
        <v>109</v>
      </c>
      <c r="P147">
        <v>0</v>
      </c>
      <c r="Q147">
        <v>-976</v>
      </c>
      <c r="R147">
        <v>13483</v>
      </c>
    </row>
    <row r="148" spans="1:18">
      <c r="A148" t="s">
        <v>431</v>
      </c>
      <c r="B148" t="s">
        <v>430</v>
      </c>
      <c r="C148" s="17" t="s">
        <v>432</v>
      </c>
      <c r="D148" t="s">
        <v>551</v>
      </c>
      <c r="E148" t="s">
        <v>554</v>
      </c>
      <c r="F148">
        <v>30</v>
      </c>
      <c r="G148">
        <v>0</v>
      </c>
      <c r="H148">
        <v>30</v>
      </c>
      <c r="I148">
        <v>7229</v>
      </c>
      <c r="J148">
        <v>2892</v>
      </c>
      <c r="K148">
        <v>4338</v>
      </c>
      <c r="L148">
        <v>0</v>
      </c>
      <c r="M148">
        <v>14459</v>
      </c>
      <c r="N148">
        <v>867</v>
      </c>
      <c r="O148">
        <v>109</v>
      </c>
      <c r="P148">
        <v>0</v>
      </c>
      <c r="Q148">
        <v>-976</v>
      </c>
      <c r="R148">
        <v>13483</v>
      </c>
    </row>
    <row r="149" spans="1:18">
      <c r="A149" t="s">
        <v>434</v>
      </c>
      <c r="B149" t="s">
        <v>433</v>
      </c>
      <c r="C149" s="17" t="s">
        <v>435</v>
      </c>
      <c r="D149" t="s">
        <v>551</v>
      </c>
      <c r="E149" t="s">
        <v>554</v>
      </c>
      <c r="F149">
        <v>30</v>
      </c>
      <c r="G149">
        <v>0</v>
      </c>
      <c r="H149">
        <v>30</v>
      </c>
      <c r="I149">
        <v>7174</v>
      </c>
      <c r="J149">
        <v>2870</v>
      </c>
      <c r="K149">
        <v>4304</v>
      </c>
      <c r="L149">
        <v>0</v>
      </c>
      <c r="M149">
        <v>14348</v>
      </c>
      <c r="N149">
        <v>861</v>
      </c>
      <c r="O149">
        <v>108</v>
      </c>
      <c r="P149">
        <v>0</v>
      </c>
      <c r="Q149">
        <v>-969</v>
      </c>
      <c r="R149">
        <v>13379</v>
      </c>
    </row>
    <row r="150" spans="1:18">
      <c r="A150" t="s">
        <v>437</v>
      </c>
      <c r="B150" t="s">
        <v>436</v>
      </c>
      <c r="C150" s="17" t="s">
        <v>435</v>
      </c>
      <c r="D150" t="s">
        <v>551</v>
      </c>
      <c r="E150" t="s">
        <v>554</v>
      </c>
      <c r="F150">
        <v>30</v>
      </c>
      <c r="G150">
        <v>0</v>
      </c>
      <c r="H150">
        <v>30</v>
      </c>
      <c r="I150">
        <v>7174</v>
      </c>
      <c r="J150">
        <v>2870</v>
      </c>
      <c r="K150">
        <v>4304</v>
      </c>
      <c r="L150">
        <v>0</v>
      </c>
      <c r="M150">
        <v>14348</v>
      </c>
      <c r="N150">
        <v>861</v>
      </c>
      <c r="O150">
        <v>108</v>
      </c>
      <c r="P150">
        <v>0</v>
      </c>
      <c r="Q150">
        <v>-969</v>
      </c>
      <c r="R150">
        <v>13379</v>
      </c>
    </row>
    <row r="151" spans="1:18">
      <c r="A151" t="s">
        <v>439</v>
      </c>
      <c r="B151" t="s">
        <v>438</v>
      </c>
      <c r="C151" s="17" t="s">
        <v>440</v>
      </c>
      <c r="D151" t="s">
        <v>551</v>
      </c>
      <c r="E151" t="s">
        <v>554</v>
      </c>
      <c r="F151">
        <v>30</v>
      </c>
      <c r="G151">
        <v>0</v>
      </c>
      <c r="H151">
        <v>30</v>
      </c>
      <c r="I151">
        <v>7174</v>
      </c>
      <c r="J151">
        <v>2870</v>
      </c>
      <c r="K151">
        <v>4304</v>
      </c>
      <c r="L151">
        <v>0</v>
      </c>
      <c r="M151">
        <v>14348</v>
      </c>
      <c r="N151">
        <v>861</v>
      </c>
      <c r="O151">
        <v>108</v>
      </c>
      <c r="P151">
        <v>0</v>
      </c>
      <c r="Q151">
        <v>-969</v>
      </c>
      <c r="R151">
        <v>13379</v>
      </c>
    </row>
    <row r="152" spans="1:18">
      <c r="A152" t="s">
        <v>442</v>
      </c>
      <c r="B152" t="s">
        <v>441</v>
      </c>
      <c r="C152" s="17" t="s">
        <v>440</v>
      </c>
      <c r="D152" t="s">
        <v>551</v>
      </c>
      <c r="E152" t="s">
        <v>554</v>
      </c>
      <c r="F152">
        <v>30</v>
      </c>
      <c r="G152">
        <v>0</v>
      </c>
      <c r="H152">
        <v>30</v>
      </c>
      <c r="I152">
        <v>7174</v>
      </c>
      <c r="J152">
        <v>2870</v>
      </c>
      <c r="K152">
        <v>4304</v>
      </c>
      <c r="L152">
        <v>0</v>
      </c>
      <c r="M152">
        <v>14348</v>
      </c>
      <c r="N152">
        <v>861</v>
      </c>
      <c r="O152">
        <v>108</v>
      </c>
      <c r="P152">
        <v>0</v>
      </c>
      <c r="Q152">
        <v>-969</v>
      </c>
      <c r="R152">
        <v>13379</v>
      </c>
    </row>
    <row r="153" spans="1:18">
      <c r="A153" t="s">
        <v>444</v>
      </c>
      <c r="B153" t="s">
        <v>443</v>
      </c>
      <c r="C153" s="17" t="s">
        <v>445</v>
      </c>
      <c r="D153" t="s">
        <v>551</v>
      </c>
      <c r="E153" t="s">
        <v>554</v>
      </c>
      <c r="F153">
        <v>30</v>
      </c>
      <c r="G153">
        <v>0</v>
      </c>
      <c r="H153">
        <v>30</v>
      </c>
      <c r="I153">
        <v>7174</v>
      </c>
      <c r="J153">
        <v>2870</v>
      </c>
      <c r="K153">
        <v>4304</v>
      </c>
      <c r="L153">
        <v>0</v>
      </c>
      <c r="M153">
        <v>14348</v>
      </c>
      <c r="N153">
        <v>861</v>
      </c>
      <c r="O153">
        <v>108</v>
      </c>
      <c r="P153">
        <v>0</v>
      </c>
      <c r="Q153">
        <v>-969</v>
      </c>
      <c r="R153">
        <v>13379</v>
      </c>
    </row>
    <row r="154" spans="1:18">
      <c r="A154" t="s">
        <v>447</v>
      </c>
      <c r="B154" t="s">
        <v>446</v>
      </c>
      <c r="C154" s="17" t="s">
        <v>448</v>
      </c>
      <c r="D154" t="s">
        <v>551</v>
      </c>
      <c r="E154" t="s">
        <v>554</v>
      </c>
      <c r="F154">
        <v>30</v>
      </c>
      <c r="G154">
        <v>0</v>
      </c>
      <c r="H154">
        <v>30</v>
      </c>
      <c r="I154">
        <v>7174</v>
      </c>
      <c r="J154">
        <v>2870</v>
      </c>
      <c r="K154">
        <v>4304</v>
      </c>
      <c r="L154">
        <v>0</v>
      </c>
      <c r="M154">
        <v>14348</v>
      </c>
      <c r="N154">
        <v>861</v>
      </c>
      <c r="O154">
        <v>108</v>
      </c>
      <c r="P154">
        <v>0</v>
      </c>
      <c r="Q154">
        <v>-969</v>
      </c>
      <c r="R154">
        <v>13379</v>
      </c>
    </row>
    <row r="155" spans="1:18">
      <c r="A155" t="s">
        <v>450</v>
      </c>
      <c r="B155" t="s">
        <v>449</v>
      </c>
      <c r="C155" s="17" t="s">
        <v>448</v>
      </c>
      <c r="D155" t="s">
        <v>551</v>
      </c>
      <c r="E155" t="s">
        <v>554</v>
      </c>
      <c r="F155">
        <v>30</v>
      </c>
      <c r="G155">
        <v>0</v>
      </c>
      <c r="H155">
        <v>30</v>
      </c>
      <c r="I155">
        <v>7174</v>
      </c>
      <c r="J155">
        <v>2870</v>
      </c>
      <c r="K155">
        <v>4304</v>
      </c>
      <c r="L155">
        <v>0</v>
      </c>
      <c r="M155">
        <v>14348</v>
      </c>
      <c r="N155">
        <v>861</v>
      </c>
      <c r="O155">
        <v>108</v>
      </c>
      <c r="P155">
        <v>0</v>
      </c>
      <c r="Q155">
        <v>-969</v>
      </c>
      <c r="R155">
        <v>13379</v>
      </c>
    </row>
    <row r="156" spans="1:18">
      <c r="A156" t="s">
        <v>452</v>
      </c>
      <c r="B156" t="s">
        <v>451</v>
      </c>
      <c r="C156" s="17" t="s">
        <v>448</v>
      </c>
      <c r="D156" t="s">
        <v>551</v>
      </c>
      <c r="E156" t="s">
        <v>554</v>
      </c>
      <c r="F156">
        <v>30</v>
      </c>
      <c r="G156">
        <v>0</v>
      </c>
      <c r="H156">
        <v>30</v>
      </c>
      <c r="I156">
        <v>7174</v>
      </c>
      <c r="J156">
        <v>2870</v>
      </c>
      <c r="K156">
        <v>4304</v>
      </c>
      <c r="L156">
        <v>0</v>
      </c>
      <c r="M156">
        <v>14348</v>
      </c>
      <c r="N156">
        <v>861</v>
      </c>
      <c r="O156">
        <v>108</v>
      </c>
      <c r="P156">
        <v>0</v>
      </c>
      <c r="Q156">
        <v>-969</v>
      </c>
      <c r="R156">
        <v>13379</v>
      </c>
    </row>
    <row r="157" spans="1:18">
      <c r="A157" t="s">
        <v>454</v>
      </c>
      <c r="B157" t="s">
        <v>453</v>
      </c>
      <c r="C157" s="17" t="s">
        <v>455</v>
      </c>
      <c r="D157" t="s">
        <v>551</v>
      </c>
      <c r="E157" t="s">
        <v>554</v>
      </c>
      <c r="F157">
        <v>30</v>
      </c>
      <c r="G157">
        <v>0</v>
      </c>
      <c r="H157">
        <v>30</v>
      </c>
      <c r="I157">
        <v>7174</v>
      </c>
      <c r="J157">
        <v>2870</v>
      </c>
      <c r="K157">
        <v>4304</v>
      </c>
      <c r="L157">
        <v>0</v>
      </c>
      <c r="M157">
        <v>14348</v>
      </c>
      <c r="N157">
        <v>861</v>
      </c>
      <c r="O157">
        <v>108</v>
      </c>
      <c r="P157">
        <v>0</v>
      </c>
      <c r="Q157">
        <v>-969</v>
      </c>
      <c r="R157">
        <v>13379</v>
      </c>
    </row>
    <row r="158" spans="1:18">
      <c r="A158" t="s">
        <v>457</v>
      </c>
      <c r="B158" t="s">
        <v>456</v>
      </c>
      <c r="C158" s="17" t="s">
        <v>458</v>
      </c>
      <c r="D158" t="s">
        <v>551</v>
      </c>
      <c r="E158" t="s">
        <v>554</v>
      </c>
      <c r="F158">
        <v>30</v>
      </c>
      <c r="G158">
        <v>28</v>
      </c>
      <c r="H158">
        <v>2</v>
      </c>
      <c r="I158">
        <v>478</v>
      </c>
      <c r="J158">
        <v>191</v>
      </c>
      <c r="K158">
        <v>287</v>
      </c>
      <c r="L158">
        <v>0</v>
      </c>
      <c r="M158">
        <v>956</v>
      </c>
      <c r="N158">
        <v>57</v>
      </c>
      <c r="O158">
        <v>8</v>
      </c>
      <c r="P158">
        <v>0</v>
      </c>
      <c r="Q158">
        <v>-65</v>
      </c>
      <c r="R158">
        <v>891</v>
      </c>
    </row>
    <row r="159" spans="1:18">
      <c r="A159" t="s">
        <v>460</v>
      </c>
      <c r="B159" t="s">
        <v>459</v>
      </c>
      <c r="C159" s="17" t="s">
        <v>461</v>
      </c>
      <c r="D159" t="s">
        <v>551</v>
      </c>
      <c r="E159" t="s">
        <v>554</v>
      </c>
      <c r="F159">
        <v>30</v>
      </c>
      <c r="G159">
        <v>0</v>
      </c>
      <c r="H159">
        <v>30</v>
      </c>
      <c r="I159">
        <v>7119</v>
      </c>
      <c r="J159">
        <v>2847</v>
      </c>
      <c r="K159">
        <v>4271</v>
      </c>
      <c r="L159">
        <v>0</v>
      </c>
      <c r="M159">
        <v>14237</v>
      </c>
      <c r="N159">
        <v>854</v>
      </c>
      <c r="O159">
        <v>107</v>
      </c>
      <c r="P159">
        <v>0</v>
      </c>
      <c r="Q159">
        <v>-961</v>
      </c>
      <c r="R159">
        <v>13276</v>
      </c>
    </row>
    <row r="160" spans="1:18">
      <c r="A160" t="s">
        <v>463</v>
      </c>
      <c r="B160" t="s">
        <v>462</v>
      </c>
      <c r="C160" s="17" t="s">
        <v>461</v>
      </c>
      <c r="D160" t="s">
        <v>551</v>
      </c>
      <c r="E160" t="s">
        <v>554</v>
      </c>
      <c r="F160">
        <v>30</v>
      </c>
      <c r="G160">
        <v>1</v>
      </c>
      <c r="H160">
        <v>29</v>
      </c>
      <c r="I160">
        <v>6881</v>
      </c>
      <c r="J160">
        <v>2753</v>
      </c>
      <c r="K160">
        <v>4129</v>
      </c>
      <c r="L160">
        <v>0</v>
      </c>
      <c r="M160">
        <v>13763</v>
      </c>
      <c r="N160">
        <v>826</v>
      </c>
      <c r="O160">
        <v>104</v>
      </c>
      <c r="P160">
        <v>0</v>
      </c>
      <c r="Q160">
        <v>-930</v>
      </c>
      <c r="R160">
        <v>12833</v>
      </c>
    </row>
    <row r="161" spans="1:18">
      <c r="A161" t="s">
        <v>465</v>
      </c>
      <c r="B161" t="s">
        <v>464</v>
      </c>
      <c r="C161" s="17" t="s">
        <v>461</v>
      </c>
      <c r="D161" t="s">
        <v>551</v>
      </c>
      <c r="E161" t="s">
        <v>554</v>
      </c>
      <c r="F161">
        <v>30</v>
      </c>
      <c r="G161">
        <v>0</v>
      </c>
      <c r="H161">
        <v>30</v>
      </c>
      <c r="I161">
        <v>7119</v>
      </c>
      <c r="J161">
        <v>2847</v>
      </c>
      <c r="K161">
        <v>4271</v>
      </c>
      <c r="L161">
        <v>0</v>
      </c>
      <c r="M161">
        <v>14237</v>
      </c>
      <c r="N161">
        <v>854</v>
      </c>
      <c r="O161">
        <v>107</v>
      </c>
      <c r="P161">
        <v>0</v>
      </c>
      <c r="Q161">
        <v>-961</v>
      </c>
      <c r="R161">
        <v>13276</v>
      </c>
    </row>
    <row r="162" spans="1:18">
      <c r="A162" t="s">
        <v>467</v>
      </c>
      <c r="B162" t="s">
        <v>466</v>
      </c>
      <c r="C162" s="17" t="s">
        <v>461</v>
      </c>
      <c r="D162" t="s">
        <v>551</v>
      </c>
      <c r="E162" t="s">
        <v>554</v>
      </c>
      <c r="F162">
        <v>30</v>
      </c>
      <c r="G162">
        <v>0</v>
      </c>
      <c r="H162">
        <v>30</v>
      </c>
      <c r="I162">
        <v>7119</v>
      </c>
      <c r="J162">
        <v>2847</v>
      </c>
      <c r="K162">
        <v>4271</v>
      </c>
      <c r="L162">
        <v>0</v>
      </c>
      <c r="M162">
        <v>14237</v>
      </c>
      <c r="N162">
        <v>854</v>
      </c>
      <c r="O162">
        <v>107</v>
      </c>
      <c r="P162">
        <v>0</v>
      </c>
      <c r="Q162">
        <v>-961</v>
      </c>
      <c r="R162">
        <v>13276</v>
      </c>
    </row>
    <row r="163" spans="1:18">
      <c r="A163" t="s">
        <v>469</v>
      </c>
      <c r="B163" t="s">
        <v>468</v>
      </c>
      <c r="C163" s="17" t="s">
        <v>461</v>
      </c>
      <c r="D163" t="s">
        <v>551</v>
      </c>
      <c r="E163" t="s">
        <v>554</v>
      </c>
      <c r="F163">
        <v>30</v>
      </c>
      <c r="G163">
        <v>0</v>
      </c>
      <c r="H163">
        <v>30</v>
      </c>
      <c r="I163">
        <v>7119</v>
      </c>
      <c r="J163">
        <v>2847</v>
      </c>
      <c r="K163">
        <v>4271</v>
      </c>
      <c r="L163">
        <v>0</v>
      </c>
      <c r="M163">
        <v>14237</v>
      </c>
      <c r="N163">
        <v>854</v>
      </c>
      <c r="O163">
        <v>107</v>
      </c>
      <c r="P163">
        <v>0</v>
      </c>
      <c r="Q163">
        <v>-961</v>
      </c>
      <c r="R163">
        <v>13276</v>
      </c>
    </row>
    <row r="164" spans="1:18">
      <c r="A164" t="s">
        <v>471</v>
      </c>
      <c r="B164" t="s">
        <v>470</v>
      </c>
      <c r="C164" s="17" t="s">
        <v>461</v>
      </c>
      <c r="D164" t="s">
        <v>551</v>
      </c>
      <c r="E164" t="s">
        <v>554</v>
      </c>
      <c r="F164">
        <v>30</v>
      </c>
      <c r="G164">
        <v>25</v>
      </c>
      <c r="H164">
        <v>5</v>
      </c>
      <c r="I164">
        <v>1112</v>
      </c>
      <c r="J164">
        <v>445</v>
      </c>
      <c r="K164">
        <v>667</v>
      </c>
      <c r="L164">
        <v>0</v>
      </c>
      <c r="M164">
        <v>2224</v>
      </c>
      <c r="N164">
        <v>133</v>
      </c>
      <c r="O164">
        <v>17</v>
      </c>
      <c r="P164">
        <v>0</v>
      </c>
      <c r="Q164">
        <v>-150</v>
      </c>
      <c r="R164">
        <v>2074</v>
      </c>
    </row>
    <row r="165" spans="1:18">
      <c r="A165" t="s">
        <v>473</v>
      </c>
      <c r="B165" t="s">
        <v>472</v>
      </c>
      <c r="C165" s="17" t="s">
        <v>474</v>
      </c>
      <c r="D165" t="s">
        <v>551</v>
      </c>
      <c r="E165" t="s">
        <v>554</v>
      </c>
      <c r="F165">
        <v>30</v>
      </c>
      <c r="G165">
        <v>0</v>
      </c>
      <c r="H165">
        <v>30</v>
      </c>
      <c r="I165">
        <v>7119</v>
      </c>
      <c r="J165">
        <v>2847</v>
      </c>
      <c r="K165">
        <v>4271</v>
      </c>
      <c r="L165">
        <v>0</v>
      </c>
      <c r="M165">
        <v>14237</v>
      </c>
      <c r="N165">
        <v>854</v>
      </c>
      <c r="O165">
        <v>107</v>
      </c>
      <c r="P165">
        <v>0</v>
      </c>
      <c r="Q165">
        <v>-961</v>
      </c>
      <c r="R165">
        <v>13276</v>
      </c>
    </row>
    <row r="166" spans="1:18">
      <c r="A166" t="s">
        <v>476</v>
      </c>
      <c r="B166" t="s">
        <v>475</v>
      </c>
      <c r="C166" s="17" t="s">
        <v>474</v>
      </c>
      <c r="D166" t="s">
        <v>551</v>
      </c>
      <c r="E166" t="s">
        <v>554</v>
      </c>
      <c r="F166">
        <v>30</v>
      </c>
      <c r="G166">
        <v>0</v>
      </c>
      <c r="H166">
        <v>30</v>
      </c>
      <c r="I166">
        <v>7119</v>
      </c>
      <c r="J166">
        <v>2847</v>
      </c>
      <c r="K166">
        <v>4271</v>
      </c>
      <c r="L166">
        <v>0</v>
      </c>
      <c r="M166">
        <v>14237</v>
      </c>
      <c r="N166">
        <v>854</v>
      </c>
      <c r="O166">
        <v>107</v>
      </c>
      <c r="P166">
        <v>0</v>
      </c>
      <c r="Q166">
        <v>-961</v>
      </c>
      <c r="R166">
        <v>13276</v>
      </c>
    </row>
    <row r="167" spans="1:18">
      <c r="A167" t="s">
        <v>478</v>
      </c>
      <c r="B167" t="s">
        <v>477</v>
      </c>
      <c r="C167" s="17" t="s">
        <v>474</v>
      </c>
      <c r="D167" t="s">
        <v>551</v>
      </c>
      <c r="E167" t="s">
        <v>554</v>
      </c>
      <c r="F167">
        <v>30</v>
      </c>
      <c r="G167">
        <v>0</v>
      </c>
      <c r="H167">
        <v>30</v>
      </c>
      <c r="I167">
        <v>7119</v>
      </c>
      <c r="J167">
        <v>2847</v>
      </c>
      <c r="K167">
        <v>4271</v>
      </c>
      <c r="L167">
        <v>0</v>
      </c>
      <c r="M167">
        <v>14237</v>
      </c>
      <c r="N167">
        <v>854</v>
      </c>
      <c r="O167">
        <v>107</v>
      </c>
      <c r="P167">
        <v>0</v>
      </c>
      <c r="Q167">
        <v>-961</v>
      </c>
      <c r="R167">
        <v>13276</v>
      </c>
    </row>
    <row r="168" spans="1:18">
      <c r="A168" t="s">
        <v>480</v>
      </c>
      <c r="B168" t="s">
        <v>479</v>
      </c>
      <c r="C168" s="17" t="s">
        <v>474</v>
      </c>
      <c r="D168" t="s">
        <v>551</v>
      </c>
      <c r="E168" t="s">
        <v>554</v>
      </c>
      <c r="F168">
        <v>30</v>
      </c>
      <c r="G168">
        <v>0</v>
      </c>
      <c r="H168">
        <v>30</v>
      </c>
      <c r="I168">
        <v>7119</v>
      </c>
      <c r="J168">
        <v>2847</v>
      </c>
      <c r="K168">
        <v>4271</v>
      </c>
      <c r="L168">
        <v>0</v>
      </c>
      <c r="M168">
        <v>14237</v>
      </c>
      <c r="N168">
        <v>854</v>
      </c>
      <c r="O168">
        <v>107</v>
      </c>
      <c r="P168">
        <v>0</v>
      </c>
      <c r="Q168">
        <v>-961</v>
      </c>
      <c r="R168">
        <v>13276</v>
      </c>
    </row>
    <row r="169" spans="1:18">
      <c r="A169" t="s">
        <v>482</v>
      </c>
      <c r="B169" t="s">
        <v>481</v>
      </c>
      <c r="C169" s="17" t="s">
        <v>474</v>
      </c>
      <c r="D169" t="s">
        <v>551</v>
      </c>
      <c r="E169" t="s">
        <v>554</v>
      </c>
      <c r="F169">
        <v>30</v>
      </c>
      <c r="G169">
        <v>0</v>
      </c>
      <c r="H169">
        <v>30</v>
      </c>
      <c r="I169">
        <v>7119</v>
      </c>
      <c r="J169">
        <v>2847</v>
      </c>
      <c r="K169">
        <v>4271</v>
      </c>
      <c r="L169">
        <v>0</v>
      </c>
      <c r="M169">
        <v>14237</v>
      </c>
      <c r="N169">
        <v>854</v>
      </c>
      <c r="O169">
        <v>107</v>
      </c>
      <c r="P169">
        <v>0</v>
      </c>
      <c r="Q169">
        <v>-961</v>
      </c>
      <c r="R169">
        <v>13276</v>
      </c>
    </row>
    <row r="170" spans="1:18">
      <c r="A170" t="s">
        <v>484</v>
      </c>
      <c r="B170" t="s">
        <v>483</v>
      </c>
      <c r="C170" s="17" t="s">
        <v>485</v>
      </c>
      <c r="D170" t="s">
        <v>551</v>
      </c>
      <c r="E170" t="s">
        <v>554</v>
      </c>
      <c r="F170">
        <v>30</v>
      </c>
      <c r="G170">
        <v>0</v>
      </c>
      <c r="H170">
        <v>30</v>
      </c>
      <c r="I170">
        <v>7119</v>
      </c>
      <c r="J170">
        <v>2847</v>
      </c>
      <c r="K170">
        <v>4271</v>
      </c>
      <c r="L170">
        <v>0</v>
      </c>
      <c r="M170">
        <v>14237</v>
      </c>
      <c r="N170">
        <v>854</v>
      </c>
      <c r="O170">
        <v>107</v>
      </c>
      <c r="P170">
        <v>0</v>
      </c>
      <c r="Q170">
        <v>-961</v>
      </c>
      <c r="R170">
        <v>13276</v>
      </c>
    </row>
    <row r="171" spans="1:18">
      <c r="A171" t="s">
        <v>487</v>
      </c>
      <c r="B171" t="s">
        <v>486</v>
      </c>
      <c r="C171" s="17" t="s">
        <v>485</v>
      </c>
      <c r="D171" t="s">
        <v>551</v>
      </c>
      <c r="E171" t="s">
        <v>554</v>
      </c>
      <c r="F171">
        <v>30</v>
      </c>
      <c r="G171">
        <v>0</v>
      </c>
      <c r="H171">
        <v>30</v>
      </c>
      <c r="I171">
        <v>7119</v>
      </c>
      <c r="J171">
        <v>2847</v>
      </c>
      <c r="K171">
        <v>4271</v>
      </c>
      <c r="L171">
        <v>0</v>
      </c>
      <c r="M171">
        <v>14237</v>
      </c>
      <c r="N171">
        <v>854</v>
      </c>
      <c r="O171">
        <v>107</v>
      </c>
      <c r="P171">
        <v>0</v>
      </c>
      <c r="Q171">
        <v>-961</v>
      </c>
      <c r="R171">
        <v>13276</v>
      </c>
    </row>
    <row r="172" spans="1:18">
      <c r="A172" t="s">
        <v>489</v>
      </c>
      <c r="B172" t="s">
        <v>488</v>
      </c>
      <c r="C172" s="17" t="s">
        <v>485</v>
      </c>
      <c r="D172" t="s">
        <v>551</v>
      </c>
      <c r="E172" t="s">
        <v>554</v>
      </c>
      <c r="F172">
        <v>30</v>
      </c>
      <c r="G172">
        <v>0</v>
      </c>
      <c r="H172">
        <v>30</v>
      </c>
      <c r="I172">
        <v>7119</v>
      </c>
      <c r="J172">
        <v>2847</v>
      </c>
      <c r="K172">
        <v>4271</v>
      </c>
      <c r="L172">
        <v>0</v>
      </c>
      <c r="M172">
        <v>14237</v>
      </c>
      <c r="N172">
        <v>854</v>
      </c>
      <c r="O172">
        <v>107</v>
      </c>
      <c r="P172">
        <v>0</v>
      </c>
      <c r="Q172">
        <v>-961</v>
      </c>
      <c r="R172">
        <v>13276</v>
      </c>
    </row>
    <row r="173" spans="1:18">
      <c r="A173" t="s">
        <v>491</v>
      </c>
      <c r="B173" t="s">
        <v>490</v>
      </c>
      <c r="C173" s="17" t="s">
        <v>492</v>
      </c>
      <c r="D173" t="s">
        <v>551</v>
      </c>
      <c r="E173" t="s">
        <v>554</v>
      </c>
      <c r="F173">
        <v>30</v>
      </c>
      <c r="G173">
        <v>0</v>
      </c>
      <c r="H173">
        <v>30</v>
      </c>
      <c r="I173">
        <v>7119</v>
      </c>
      <c r="J173">
        <v>2847</v>
      </c>
      <c r="K173">
        <v>4271</v>
      </c>
      <c r="L173">
        <v>0</v>
      </c>
      <c r="M173">
        <v>14237</v>
      </c>
      <c r="N173">
        <v>854</v>
      </c>
      <c r="O173">
        <v>107</v>
      </c>
      <c r="P173">
        <v>0</v>
      </c>
      <c r="Q173">
        <v>-961</v>
      </c>
      <c r="R173">
        <v>13276</v>
      </c>
    </row>
    <row r="174" spans="1:18">
      <c r="A174" t="s">
        <v>494</v>
      </c>
      <c r="B174" t="s">
        <v>493</v>
      </c>
      <c r="C174" s="17" t="s">
        <v>495</v>
      </c>
      <c r="D174" t="s">
        <v>551</v>
      </c>
      <c r="E174" t="s">
        <v>554</v>
      </c>
      <c r="F174">
        <v>30</v>
      </c>
      <c r="G174">
        <v>0</v>
      </c>
      <c r="H174">
        <v>30</v>
      </c>
      <c r="I174">
        <v>7063</v>
      </c>
      <c r="J174">
        <v>2825</v>
      </c>
      <c r="K174">
        <v>4238</v>
      </c>
      <c r="L174">
        <v>0</v>
      </c>
      <c r="M174">
        <v>14126</v>
      </c>
      <c r="N174">
        <v>848</v>
      </c>
      <c r="O174">
        <v>106</v>
      </c>
      <c r="P174">
        <v>0</v>
      </c>
      <c r="Q174">
        <v>-954</v>
      </c>
      <c r="R174">
        <v>13172</v>
      </c>
    </row>
    <row r="175" spans="1:18">
      <c r="A175" t="s">
        <v>497</v>
      </c>
      <c r="B175" t="s">
        <v>496</v>
      </c>
      <c r="C175" s="17" t="s">
        <v>498</v>
      </c>
      <c r="D175" t="s">
        <v>551</v>
      </c>
      <c r="E175" t="s">
        <v>553</v>
      </c>
      <c r="F175">
        <v>30</v>
      </c>
      <c r="G175">
        <v>7</v>
      </c>
      <c r="H175">
        <v>23</v>
      </c>
      <c r="I175">
        <v>5415</v>
      </c>
      <c r="J175">
        <v>2166</v>
      </c>
      <c r="K175">
        <v>3249</v>
      </c>
      <c r="L175">
        <v>0</v>
      </c>
      <c r="M175">
        <v>10830</v>
      </c>
      <c r="N175">
        <v>650</v>
      </c>
      <c r="O175">
        <v>82</v>
      </c>
      <c r="P175">
        <v>0</v>
      </c>
      <c r="Q175">
        <v>-732</v>
      </c>
      <c r="R175">
        <v>10098</v>
      </c>
    </row>
    <row r="176" spans="1:18">
      <c r="A176" t="s">
        <v>500</v>
      </c>
      <c r="B176" t="s">
        <v>499</v>
      </c>
      <c r="C176" s="17" t="s">
        <v>501</v>
      </c>
      <c r="D176" t="s">
        <v>551</v>
      </c>
      <c r="E176" t="s">
        <v>553</v>
      </c>
      <c r="F176">
        <v>30</v>
      </c>
      <c r="G176">
        <v>0</v>
      </c>
      <c r="H176">
        <v>30</v>
      </c>
      <c r="I176">
        <v>6674</v>
      </c>
      <c r="J176">
        <v>2669</v>
      </c>
      <c r="K176">
        <v>4004</v>
      </c>
      <c r="L176">
        <v>0</v>
      </c>
      <c r="M176">
        <v>13347</v>
      </c>
      <c r="N176">
        <v>801</v>
      </c>
      <c r="O176">
        <v>101</v>
      </c>
      <c r="P176">
        <v>0</v>
      </c>
      <c r="Q176">
        <v>-902</v>
      </c>
      <c r="R176">
        <v>12445</v>
      </c>
    </row>
    <row r="177" spans="1:18">
      <c r="A177" t="s">
        <v>503</v>
      </c>
      <c r="B177" t="s">
        <v>502</v>
      </c>
      <c r="C177" s="17" t="s">
        <v>501</v>
      </c>
      <c r="D177" t="s">
        <v>551</v>
      </c>
      <c r="E177" t="s">
        <v>553</v>
      </c>
      <c r="F177">
        <v>30</v>
      </c>
      <c r="G177">
        <v>0</v>
      </c>
      <c r="H177">
        <v>30</v>
      </c>
      <c r="I177">
        <v>6674</v>
      </c>
      <c r="J177">
        <v>2669</v>
      </c>
      <c r="K177">
        <v>4004</v>
      </c>
      <c r="L177">
        <v>0</v>
      </c>
      <c r="M177">
        <v>13347</v>
      </c>
      <c r="N177">
        <v>801</v>
      </c>
      <c r="O177">
        <v>101</v>
      </c>
      <c r="P177">
        <v>0</v>
      </c>
      <c r="Q177">
        <v>-902</v>
      </c>
      <c r="R177">
        <v>12445</v>
      </c>
    </row>
    <row r="178" spans="1:18">
      <c r="A178" t="s">
        <v>505</v>
      </c>
      <c r="B178" t="s">
        <v>504</v>
      </c>
      <c r="C178" s="17" t="s">
        <v>506</v>
      </c>
      <c r="D178" t="s">
        <v>551</v>
      </c>
      <c r="E178" t="s">
        <v>553</v>
      </c>
      <c r="F178">
        <v>30</v>
      </c>
      <c r="G178">
        <v>0</v>
      </c>
      <c r="H178">
        <v>30</v>
      </c>
      <c r="I178">
        <v>6674</v>
      </c>
      <c r="J178">
        <v>2669</v>
      </c>
      <c r="K178">
        <v>4004</v>
      </c>
      <c r="L178">
        <v>0</v>
      </c>
      <c r="M178">
        <v>13347</v>
      </c>
      <c r="N178">
        <v>801</v>
      </c>
      <c r="O178">
        <v>101</v>
      </c>
      <c r="P178">
        <v>0</v>
      </c>
      <c r="Q178">
        <v>-902</v>
      </c>
      <c r="R178">
        <v>12445</v>
      </c>
    </row>
    <row r="179" spans="1:18">
      <c r="A179" t="s">
        <v>508</v>
      </c>
      <c r="B179" t="s">
        <v>507</v>
      </c>
      <c r="C179" s="17" t="s">
        <v>509</v>
      </c>
      <c r="D179" t="s">
        <v>551</v>
      </c>
      <c r="E179" t="s">
        <v>553</v>
      </c>
      <c r="F179">
        <v>30</v>
      </c>
      <c r="G179">
        <v>0</v>
      </c>
      <c r="H179">
        <v>30</v>
      </c>
      <c r="I179">
        <v>6674</v>
      </c>
      <c r="J179">
        <v>2669</v>
      </c>
      <c r="K179">
        <v>4004</v>
      </c>
      <c r="L179">
        <v>0</v>
      </c>
      <c r="M179">
        <v>13347</v>
      </c>
      <c r="N179">
        <v>801</v>
      </c>
      <c r="O179">
        <v>101</v>
      </c>
      <c r="P179">
        <v>0</v>
      </c>
      <c r="Q179">
        <v>-902</v>
      </c>
      <c r="R179">
        <v>12445</v>
      </c>
    </row>
    <row r="180" spans="1:18">
      <c r="A180" t="s">
        <v>511</v>
      </c>
      <c r="B180" t="s">
        <v>510</v>
      </c>
      <c r="C180" s="17" t="s">
        <v>509</v>
      </c>
      <c r="D180" t="s">
        <v>551</v>
      </c>
      <c r="E180" t="s">
        <v>553</v>
      </c>
      <c r="F180">
        <v>30</v>
      </c>
      <c r="G180">
        <v>0</v>
      </c>
      <c r="H180">
        <v>30</v>
      </c>
      <c r="I180">
        <v>6674</v>
      </c>
      <c r="J180">
        <v>2669</v>
      </c>
      <c r="K180">
        <v>4004</v>
      </c>
      <c r="L180">
        <v>0</v>
      </c>
      <c r="M180">
        <v>13347</v>
      </c>
      <c r="N180">
        <v>801</v>
      </c>
      <c r="O180">
        <v>101</v>
      </c>
      <c r="P180">
        <v>0</v>
      </c>
      <c r="Q180">
        <v>-902</v>
      </c>
      <c r="R180">
        <v>12445</v>
      </c>
    </row>
    <row r="181" spans="1:18">
      <c r="A181" t="s">
        <v>513</v>
      </c>
      <c r="B181" t="s">
        <v>512</v>
      </c>
      <c r="C181" s="17" t="s">
        <v>514</v>
      </c>
      <c r="D181" t="s">
        <v>551</v>
      </c>
      <c r="E181" t="s">
        <v>553</v>
      </c>
      <c r="F181">
        <v>30</v>
      </c>
      <c r="G181">
        <v>0</v>
      </c>
      <c r="H181">
        <v>30</v>
      </c>
      <c r="I181">
        <v>6674</v>
      </c>
      <c r="J181">
        <v>2669</v>
      </c>
      <c r="K181">
        <v>4004</v>
      </c>
      <c r="L181">
        <v>0</v>
      </c>
      <c r="M181">
        <v>13347</v>
      </c>
      <c r="N181">
        <v>801</v>
      </c>
      <c r="O181">
        <v>101</v>
      </c>
      <c r="P181">
        <v>0</v>
      </c>
      <c r="Q181">
        <v>-902</v>
      </c>
      <c r="R181">
        <v>12445</v>
      </c>
    </row>
    <row r="182" spans="1:18">
      <c r="A182" t="s">
        <v>516</v>
      </c>
      <c r="B182" t="s">
        <v>515</v>
      </c>
      <c r="C182" s="17" t="s">
        <v>514</v>
      </c>
      <c r="D182" t="s">
        <v>551</v>
      </c>
      <c r="E182" t="s">
        <v>553</v>
      </c>
      <c r="F182">
        <v>30</v>
      </c>
      <c r="G182">
        <v>0</v>
      </c>
      <c r="H182">
        <v>30</v>
      </c>
      <c r="I182">
        <v>6674</v>
      </c>
      <c r="J182">
        <v>2669</v>
      </c>
      <c r="K182">
        <v>4004</v>
      </c>
      <c r="L182">
        <v>0</v>
      </c>
      <c r="M182">
        <v>13347</v>
      </c>
      <c r="N182">
        <v>801</v>
      </c>
      <c r="O182">
        <v>101</v>
      </c>
      <c r="P182">
        <v>0</v>
      </c>
      <c r="Q182">
        <v>-902</v>
      </c>
      <c r="R182">
        <v>12445</v>
      </c>
    </row>
    <row r="183" spans="1:18">
      <c r="A183" t="s">
        <v>518</v>
      </c>
      <c r="B183" t="s">
        <v>517</v>
      </c>
      <c r="C183" s="17" t="s">
        <v>514</v>
      </c>
      <c r="D183" t="s">
        <v>551</v>
      </c>
      <c r="E183" t="s">
        <v>553</v>
      </c>
      <c r="F183">
        <v>30</v>
      </c>
      <c r="G183">
        <v>0</v>
      </c>
      <c r="H183">
        <v>30</v>
      </c>
      <c r="I183">
        <v>6674</v>
      </c>
      <c r="J183">
        <v>2669</v>
      </c>
      <c r="K183">
        <v>4004</v>
      </c>
      <c r="L183">
        <v>0</v>
      </c>
      <c r="M183">
        <v>13347</v>
      </c>
      <c r="N183">
        <v>801</v>
      </c>
      <c r="O183">
        <v>101</v>
      </c>
      <c r="P183">
        <v>0</v>
      </c>
      <c r="Q183">
        <v>-902</v>
      </c>
      <c r="R183">
        <v>12445</v>
      </c>
    </row>
    <row r="184" spans="1:18">
      <c r="A184" t="s">
        <v>520</v>
      </c>
      <c r="B184" t="s">
        <v>519</v>
      </c>
      <c r="C184" s="17" t="s">
        <v>514</v>
      </c>
      <c r="D184" t="s">
        <v>551</v>
      </c>
      <c r="E184" t="s">
        <v>553</v>
      </c>
      <c r="F184">
        <v>30</v>
      </c>
      <c r="G184">
        <v>0</v>
      </c>
      <c r="H184">
        <v>30</v>
      </c>
      <c r="I184">
        <v>6674</v>
      </c>
      <c r="J184">
        <v>2669</v>
      </c>
      <c r="K184">
        <v>4004</v>
      </c>
      <c r="L184">
        <v>0</v>
      </c>
      <c r="M184">
        <v>13347</v>
      </c>
      <c r="N184">
        <v>801</v>
      </c>
      <c r="O184">
        <v>101</v>
      </c>
      <c r="P184">
        <v>0</v>
      </c>
      <c r="Q184">
        <v>-902</v>
      </c>
      <c r="R184">
        <v>12445</v>
      </c>
    </row>
    <row r="185" spans="1:18">
      <c r="A185" t="s">
        <v>522</v>
      </c>
      <c r="B185" t="s">
        <v>521</v>
      </c>
      <c r="C185" s="17" t="s">
        <v>514</v>
      </c>
      <c r="D185" t="s">
        <v>551</v>
      </c>
      <c r="E185" t="s">
        <v>553</v>
      </c>
      <c r="F185">
        <v>30</v>
      </c>
      <c r="G185">
        <v>26</v>
      </c>
      <c r="H185">
        <v>4</v>
      </c>
      <c r="I185">
        <v>890</v>
      </c>
      <c r="J185">
        <v>356</v>
      </c>
      <c r="K185">
        <v>534</v>
      </c>
      <c r="L185">
        <v>0</v>
      </c>
      <c r="M185">
        <v>1780</v>
      </c>
      <c r="N185">
        <v>107</v>
      </c>
      <c r="O185">
        <v>14</v>
      </c>
      <c r="P185">
        <v>0</v>
      </c>
      <c r="Q185">
        <v>-121</v>
      </c>
      <c r="R185">
        <v>1659</v>
      </c>
    </row>
    <row r="186" spans="1:18">
      <c r="A186" t="s">
        <v>524</v>
      </c>
      <c r="B186" t="s">
        <v>523</v>
      </c>
      <c r="C186" s="17" t="s">
        <v>525</v>
      </c>
      <c r="D186" t="s">
        <v>551</v>
      </c>
      <c r="E186" t="s">
        <v>554</v>
      </c>
      <c r="F186">
        <v>30</v>
      </c>
      <c r="G186">
        <v>0</v>
      </c>
      <c r="H186">
        <v>30</v>
      </c>
      <c r="I186">
        <v>6674</v>
      </c>
      <c r="J186">
        <v>2669</v>
      </c>
      <c r="K186">
        <v>4004</v>
      </c>
      <c r="L186">
        <v>0</v>
      </c>
      <c r="M186">
        <v>13347</v>
      </c>
      <c r="N186">
        <v>801</v>
      </c>
      <c r="O186">
        <v>101</v>
      </c>
      <c r="P186">
        <v>0</v>
      </c>
      <c r="Q186">
        <v>-902</v>
      </c>
      <c r="R186">
        <v>12445</v>
      </c>
    </row>
    <row r="187" spans="1:18">
      <c r="A187" t="s">
        <v>527</v>
      </c>
      <c r="B187" t="s">
        <v>526</v>
      </c>
      <c r="C187" s="17" t="s">
        <v>525</v>
      </c>
      <c r="D187" t="s">
        <v>551</v>
      </c>
      <c r="E187" t="s">
        <v>554</v>
      </c>
      <c r="F187">
        <v>30</v>
      </c>
      <c r="G187">
        <v>0</v>
      </c>
      <c r="H187">
        <v>30</v>
      </c>
      <c r="I187">
        <v>6674</v>
      </c>
      <c r="J187">
        <v>2669</v>
      </c>
      <c r="K187">
        <v>4004</v>
      </c>
      <c r="L187">
        <v>0</v>
      </c>
      <c r="M187">
        <v>13347</v>
      </c>
      <c r="N187">
        <v>801</v>
      </c>
      <c r="O187">
        <v>101</v>
      </c>
      <c r="P187">
        <v>0</v>
      </c>
      <c r="Q187">
        <v>-902</v>
      </c>
      <c r="R187">
        <v>12445</v>
      </c>
    </row>
    <row r="188" spans="1:18">
      <c r="A188" t="s">
        <v>529</v>
      </c>
      <c r="B188" t="s">
        <v>528</v>
      </c>
      <c r="C188" s="17" t="s">
        <v>530</v>
      </c>
      <c r="D188" t="s">
        <v>551</v>
      </c>
      <c r="E188" t="s">
        <v>554</v>
      </c>
      <c r="F188">
        <v>30</v>
      </c>
      <c r="G188">
        <v>30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>
      <c r="A189" t="s">
        <v>532</v>
      </c>
      <c r="B189" t="s">
        <v>531</v>
      </c>
      <c r="C189" s="17" t="s">
        <v>533</v>
      </c>
      <c r="D189" t="s">
        <v>551</v>
      </c>
      <c r="E189" t="s">
        <v>554</v>
      </c>
      <c r="F189">
        <v>30</v>
      </c>
      <c r="G189">
        <v>0</v>
      </c>
      <c r="H189">
        <v>30</v>
      </c>
      <c r="I189">
        <v>6674</v>
      </c>
      <c r="J189">
        <v>2669</v>
      </c>
      <c r="K189">
        <v>4004</v>
      </c>
      <c r="L189">
        <v>0</v>
      </c>
      <c r="M189">
        <v>13347</v>
      </c>
      <c r="N189">
        <v>801</v>
      </c>
      <c r="O189">
        <v>101</v>
      </c>
      <c r="P189">
        <v>0</v>
      </c>
      <c r="Q189">
        <v>-902</v>
      </c>
      <c r="R189">
        <v>12445</v>
      </c>
    </row>
    <row r="190" spans="1:18">
      <c r="A190" t="s">
        <v>535</v>
      </c>
      <c r="B190" t="s">
        <v>534</v>
      </c>
      <c r="C190" s="17" t="s">
        <v>536</v>
      </c>
      <c r="D190" t="s">
        <v>551</v>
      </c>
      <c r="E190" t="s">
        <v>554</v>
      </c>
      <c r="F190">
        <v>30</v>
      </c>
      <c r="G190">
        <v>0</v>
      </c>
      <c r="H190">
        <v>30</v>
      </c>
      <c r="I190">
        <v>6674</v>
      </c>
      <c r="J190">
        <v>2669</v>
      </c>
      <c r="K190">
        <v>4004</v>
      </c>
      <c r="L190">
        <v>0</v>
      </c>
      <c r="M190">
        <v>13347</v>
      </c>
      <c r="N190">
        <v>801</v>
      </c>
      <c r="O190">
        <v>101</v>
      </c>
      <c r="P190">
        <v>0</v>
      </c>
      <c r="Q190">
        <v>-902</v>
      </c>
      <c r="R190">
        <v>12445</v>
      </c>
    </row>
    <row r="191" spans="1:18">
      <c r="A191" t="s">
        <v>538</v>
      </c>
      <c r="B191" t="s">
        <v>537</v>
      </c>
      <c r="C191" s="17" t="s">
        <v>539</v>
      </c>
      <c r="D191" t="s">
        <v>551</v>
      </c>
      <c r="E191" t="s">
        <v>554</v>
      </c>
      <c r="F191">
        <v>30</v>
      </c>
      <c r="G191">
        <v>1</v>
      </c>
      <c r="H191">
        <v>29</v>
      </c>
      <c r="I191">
        <v>6452</v>
      </c>
      <c r="J191">
        <v>2580</v>
      </c>
      <c r="K191">
        <v>3871</v>
      </c>
      <c r="L191">
        <v>0</v>
      </c>
      <c r="M191">
        <v>12903</v>
      </c>
      <c r="N191">
        <v>774</v>
      </c>
      <c r="O191">
        <v>97</v>
      </c>
      <c r="P191">
        <v>0</v>
      </c>
      <c r="Q191">
        <v>-871</v>
      </c>
      <c r="R191">
        <v>12032</v>
      </c>
    </row>
    <row r="192" spans="1:18">
      <c r="A192" t="s">
        <v>541</v>
      </c>
      <c r="B192" t="s">
        <v>540</v>
      </c>
      <c r="C192" s="17" t="s">
        <v>555</v>
      </c>
      <c r="D192" t="s">
        <v>551</v>
      </c>
      <c r="E192" t="s">
        <v>553</v>
      </c>
      <c r="F192">
        <v>30</v>
      </c>
      <c r="G192">
        <v>0</v>
      </c>
      <c r="H192">
        <v>30</v>
      </c>
      <c r="I192">
        <v>6674</v>
      </c>
      <c r="J192">
        <v>2669</v>
      </c>
      <c r="K192">
        <v>4004</v>
      </c>
      <c r="L192">
        <v>0</v>
      </c>
      <c r="M192">
        <v>13347</v>
      </c>
      <c r="N192">
        <v>801</v>
      </c>
      <c r="O192">
        <v>101</v>
      </c>
      <c r="P192">
        <v>0</v>
      </c>
      <c r="Q192">
        <v>-902</v>
      </c>
      <c r="R192">
        <v>12445</v>
      </c>
    </row>
    <row r="193" spans="1:18">
      <c r="A193" t="s">
        <v>544</v>
      </c>
      <c r="B193" t="s">
        <v>543</v>
      </c>
      <c r="C193" s="17" t="s">
        <v>545</v>
      </c>
      <c r="D193" t="s">
        <v>551</v>
      </c>
      <c r="E193" t="s">
        <v>553</v>
      </c>
      <c r="F193">
        <v>30</v>
      </c>
      <c r="G193">
        <v>2</v>
      </c>
      <c r="H193">
        <v>28</v>
      </c>
      <c r="I193">
        <v>6229</v>
      </c>
      <c r="J193">
        <v>2491</v>
      </c>
      <c r="K193">
        <v>3737</v>
      </c>
      <c r="L193">
        <v>0</v>
      </c>
      <c r="M193">
        <v>12457</v>
      </c>
      <c r="N193">
        <v>747</v>
      </c>
      <c r="O193">
        <v>94</v>
      </c>
      <c r="P193">
        <v>0</v>
      </c>
      <c r="Q193">
        <v>-841</v>
      </c>
      <c r="R193">
        <v>11616</v>
      </c>
    </row>
    <row r="194" spans="1:18">
      <c r="A194" t="s">
        <v>547</v>
      </c>
      <c r="B194" t="s">
        <v>546</v>
      </c>
      <c r="C194" s="17" t="s">
        <v>556</v>
      </c>
      <c r="D194" t="s">
        <v>551</v>
      </c>
      <c r="E194" t="s">
        <v>553</v>
      </c>
      <c r="F194">
        <v>30</v>
      </c>
      <c r="G194">
        <v>0</v>
      </c>
      <c r="H194">
        <v>30</v>
      </c>
      <c r="I194">
        <v>6674</v>
      </c>
      <c r="J194">
        <v>2669</v>
      </c>
      <c r="K194">
        <v>4004</v>
      </c>
      <c r="L194">
        <v>0</v>
      </c>
      <c r="M194">
        <v>13347</v>
      </c>
      <c r="N194">
        <v>801</v>
      </c>
      <c r="O194">
        <v>101</v>
      </c>
      <c r="P194">
        <v>0</v>
      </c>
      <c r="Q194">
        <v>-902</v>
      </c>
      <c r="R194">
        <v>12445</v>
      </c>
    </row>
    <row r="195" spans="1:18">
      <c r="B195" t="s">
        <v>558</v>
      </c>
      <c r="C195" t="s">
        <v>551</v>
      </c>
      <c r="D195" t="s">
        <v>553</v>
      </c>
      <c r="E195">
        <v>30</v>
      </c>
      <c r="F195">
        <v>0</v>
      </c>
      <c r="G195">
        <v>20</v>
      </c>
      <c r="H195">
        <v>4449</v>
      </c>
      <c r="I195">
        <v>1779</v>
      </c>
      <c r="J195">
        <v>2669</v>
      </c>
      <c r="K195">
        <v>0</v>
      </c>
      <c r="L195">
        <v>8897</v>
      </c>
      <c r="M195">
        <v>534</v>
      </c>
      <c r="N195">
        <v>67</v>
      </c>
      <c r="O195">
        <v>0</v>
      </c>
      <c r="P195">
        <v>-601</v>
      </c>
      <c r="Q195">
        <v>8296</v>
      </c>
    </row>
    <row r="196" spans="1:18">
      <c r="A196" t="s">
        <v>560</v>
      </c>
      <c r="B196" s="17"/>
      <c r="C196" t="s">
        <v>560</v>
      </c>
      <c r="D196" t="s">
        <v>561</v>
      </c>
      <c r="E196">
        <v>5790</v>
      </c>
      <c r="F196">
        <v>315</v>
      </c>
      <c r="G196">
        <v>5465</v>
      </c>
      <c r="H196">
        <v>1652743</v>
      </c>
      <c r="I196">
        <v>661076</v>
      </c>
      <c r="J196">
        <v>954862</v>
      </c>
      <c r="K196">
        <v>36767</v>
      </c>
      <c r="L196">
        <v>3305448</v>
      </c>
      <c r="M196">
        <v>198327</v>
      </c>
      <c r="N196">
        <v>17032</v>
      </c>
      <c r="O196">
        <v>17300</v>
      </c>
      <c r="P196">
        <v>-232659</v>
      </c>
      <c r="Q196">
        <v>3072789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 Sep-26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Shradha G.</dc:creator>
  <cp:lastModifiedBy>Parikar Business and Knowledge Services P Ltd</cp:lastModifiedBy>
  <cp:lastPrinted>2026-08-27T09:44:00Z</cp:lastPrinted>
  <dcterms:created xsi:type="dcterms:W3CDTF">2026-05-09T06:56:00Z</dcterms:created>
  <dcterms:modified xsi:type="dcterms:W3CDTF">2026-10-17T04:15:50Z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FA4E92273E2B4014A16930D5D6DCA3D7_12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