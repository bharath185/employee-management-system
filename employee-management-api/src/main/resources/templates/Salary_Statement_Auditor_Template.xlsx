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 Sep-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_ * #,##0_ ;_ * \-#,##0_ ;_ * &quot;-&quot;??_ ;_ @_ "/>
    <numFmt numFmtId="165" formatCode="dd\-mm\-yyyy"/>
    <numFmt numFmtId="166" formatCode="m/d/yyyy;@"/>
    <numFmt numFmtId="167" formatCode="_ * #,##0.00_ ;_ * \-#,##0.00_ ;_ * &quot;-&quot;??_ ;_ @_ "/>
    <numFmt numFmtId="168" formatCode="dd\ mmm\ yyyy"/>
  </numFmts>
  <fonts count="6">
    <font>
      <name val="Calibri"/>
      <charset val="134"/>
      <color theme="1"/>
      <sz val="11"/>
      <scheme val="minor"/>
    </font>
    <font>
      <name val="Book Antiqua"/>
      <family val="1"/>
      <sz val="11"/>
    </font>
    <font>
      <name val="Book Antiqua"/>
      <family val="1"/>
      <color theme="1"/>
      <sz val="11"/>
    </font>
    <font>
      <name val="Book Antiqua"/>
      <family val="1"/>
      <b val="1"/>
      <color theme="1"/>
      <sz val="11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8" tint="0.399914548173467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4" fillId="0" borderId="0"/>
  </cellStyleXfs>
  <cellXfs count="42">
    <xf numFmtId="0" fontId="0" fillId="0" borderId="0" pivotButton="0" quotePrefix="0" xfId="0"/>
    <xf numFmtId="0" fontId="1" fillId="0" borderId="1" pivotButton="0" quotePrefix="0" xfId="0"/>
    <xf numFmtId="164" fontId="2" fillId="0" borderId="1" pivotButton="0" quotePrefix="0" xfId="1"/>
    <xf numFmtId="0" fontId="3" fillId="3" borderId="1" pivotButton="0" quotePrefix="0" xfId="0"/>
    <xf numFmtId="164" fontId="3" fillId="3" borderId="1" pivotButton="0" quotePrefix="0" xfId="0"/>
    <xf numFmtId="0" fontId="2" fillId="0" borderId="0" pivotButton="0" quotePrefix="0" xfId="0"/>
    <xf numFmtId="0" fontId="3" fillId="0" borderId="0" pivotButton="0" quotePrefix="0" xfId="0"/>
    <xf numFmtId="164" fontId="3" fillId="5" borderId="1" applyAlignment="1" pivotButton="0" quotePrefix="0" xfId="1">
      <alignment horizontal="center"/>
    </xf>
    <xf numFmtId="164" fontId="3" fillId="5" borderId="1" applyAlignment="1" pivotButton="0" quotePrefix="0" xfId="1">
      <alignment horizontal="center" wrapText="1"/>
    </xf>
    <xf numFmtId="0" fontId="2" fillId="0" borderId="1" pivotButton="0" quotePrefix="0" xfId="0"/>
    <xf numFmtId="164" fontId="1" fillId="0" borderId="1" pivotButton="0" quotePrefix="0" xfId="1"/>
    <xf numFmtId="164" fontId="2" fillId="0" borderId="1" pivotButton="0" quotePrefix="0" xfId="1"/>
    <xf numFmtId="165" fontId="2" fillId="0" borderId="1" pivotButton="0" quotePrefix="0" xfId="1"/>
    <xf numFmtId="166" fontId="1" fillId="0" borderId="1" pivotButton="0" quotePrefix="0" xfId="1"/>
    <xf numFmtId="165" fontId="2" fillId="0" borderId="0" pivotButton="0" quotePrefix="0" xfId="0"/>
    <xf numFmtId="164" fontId="2" fillId="0" borderId="0" pivotButton="0" quotePrefix="0" xfId="0"/>
    <xf numFmtId="167" fontId="2" fillId="0" borderId="0" pivotButton="0" quotePrefix="0" xfId="0"/>
    <xf numFmtId="168" fontId="0" fillId="0" borderId="0" pivotButton="0" quotePrefix="0" xfId="0"/>
    <xf numFmtId="0" fontId="5" fillId="0" borderId="0" applyAlignment="1" pivotButton="0" quotePrefix="0" xfId="0">
      <alignment horizontal="left"/>
    </xf>
    <xf numFmtId="164" fontId="1" fillId="0" borderId="1" pivotButton="0" quotePrefix="0" xfId="1"/>
    <xf numFmtId="165" fontId="2" fillId="0" borderId="1" pivotButton="0" quotePrefix="0" xfId="1"/>
    <xf numFmtId="164" fontId="1" fillId="0" borderId="0" pivotButton="0" quotePrefix="0" xfId="1"/>
    <xf numFmtId="14" fontId="2" fillId="0" borderId="0" pivotButton="0" quotePrefix="0" xfId="0"/>
    <xf numFmtId="164" fontId="3" fillId="4" borderId="2" applyAlignment="1" pivotButton="0" quotePrefix="0" xfId="1">
      <alignment horizontal="center" wrapText="1"/>
    </xf>
    <xf numFmtId="164" fontId="3" fillId="4" borderId="3" applyAlignment="1" pivotButton="0" quotePrefix="0" xfId="1">
      <alignment horizontal="center" wrapText="1"/>
    </xf>
    <xf numFmtId="164" fontId="3" fillId="4" borderId="4" applyAlignment="1" pivotButton="0" quotePrefix="0" xfId="1">
      <alignment horizontal="center" wrapText="1"/>
    </xf>
    <xf numFmtId="0" fontId="3" fillId="0" borderId="0" applyAlignment="1" pivotButton="0" quotePrefix="0" xfId="0">
      <alignment horizontal="center"/>
    </xf>
    <xf numFmtId="164" fontId="3" fillId="4" borderId="5" applyAlignment="1" pivotButton="0" quotePrefix="0" xfId="1">
      <alignment horizontal="center" vertical="center" wrapText="1"/>
    </xf>
    <xf numFmtId="164" fontId="3" fillId="4" borderId="6" applyAlignment="1" pivotButton="0" quotePrefix="0" xfId="1">
      <alignment horizontal="center" vertical="center" wrapText="1"/>
    </xf>
    <xf numFmtId="164" fontId="3" fillId="4" borderId="5" applyAlignment="1" pivotButton="0" quotePrefix="0" xfId="1">
      <alignment horizontal="center" wrapText="1"/>
    </xf>
    <xf numFmtId="164" fontId="3" fillId="4" borderId="6" applyAlignment="1" pivotButton="0" quotePrefix="0" xfId="1">
      <alignment horizontal="center" wrapText="1"/>
    </xf>
    <xf numFmtId="0" fontId="3" fillId="0" borderId="0" applyAlignment="1" pivotButton="0" quotePrefix="0" xfId="0">
      <alignment horizontal="left" wrapText="1"/>
    </xf>
    <xf numFmtId="0" fontId="3" fillId="0" borderId="0" applyAlignment="1" pivotButton="0" quotePrefix="0" xfId="0">
      <alignment horizontal="left"/>
    </xf>
    <xf numFmtId="0" fontId="3" fillId="4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center" wrapText="1"/>
    </xf>
    <xf numFmtId="164" fontId="3" fillId="4" borderId="1" applyAlignment="1" pivotButton="0" quotePrefix="0" xfId="1">
      <alignment horizontal="center" wrapText="1"/>
    </xf>
    <xf numFmtId="164" fontId="3" fillId="2" borderId="1" applyAlignment="1" pivotButton="0" quotePrefix="0" xfId="1">
      <alignment horizontal="center" wrapText="1"/>
    </xf>
    <xf numFmtId="167" fontId="2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164" fontId="3" fillId="4" borderId="1" applyAlignment="1" pivotButton="0" quotePrefix="0" xfId="1">
      <alignment horizontal="center" vertical="center" wrapText="1"/>
    </xf>
    <xf numFmtId="0" fontId="0" fillId="0" borderId="6" pivotButton="0" quotePrefix="0" xfId="0"/>
  </cellXfs>
  <cellStyles count="2">
    <cellStyle name="Normal" xfId="0" builtinId="0"/>
    <cellStyle name="Comma" xfId="1" builtin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"/>
  <sheetViews>
    <sheetView tabSelected="1" zoomScaleNormal="100" workbookViewId="0">
      <pane xSplit="3" ySplit="6" topLeftCell="D182" activePane="bottomRight" state="frozen"/>
      <selection pane="topRight" activeCell="A1" sqref="A1"/>
      <selection pane="bottomLeft" activeCell="A1" sqref="A1"/>
      <selection pane="bottomRight" activeCell="G193" sqref="G193"/>
    </sheetView>
  </sheetViews>
  <sheetFormatPr baseColWidth="8" defaultColWidth="9.109375" defaultRowHeight="14.4"/>
  <cols>
    <col width="6.5546875" customWidth="1" style="5" min="1" max="1"/>
    <col width="45.6640625" customWidth="1" style="5" min="2" max="2"/>
    <col width="20.6640625" customWidth="1" style="5" min="3" max="32"/>
    <col width="52.33203125" customWidth="1" style="5" min="33" max="33"/>
    <col width="9.109375" customWidth="1" style="5" min="34" max="16384"/>
  </cols>
  <sheetData>
    <row r="1" ht="30" customHeight="1">
      <c r="A1" s="31" t="inlineStr">
        <is>
          <t>Name of the Establishment :</t>
        </is>
      </c>
      <c r="C1" s="6" t="inlineStr">
        <is>
          <t>PARIKAR BUSINESS &amp; KNOWLEDGE SERVICES PRIVATE LIMITED</t>
        </is>
      </c>
    </row>
    <row r="2">
      <c r="A2" s="32" t="inlineStr">
        <is>
          <t>Address :</t>
        </is>
      </c>
      <c r="C2" s="6" t="inlineStr">
        <is>
          <t>Ecco Green, Upadhyayanagar Grand World, Tirupathi - 517505</t>
        </is>
      </c>
      <c r="J2" s="26" t="n"/>
    </row>
    <row r="3">
      <c r="J3" s="21" t="n"/>
      <c r="K3" s="6" t="n"/>
      <c r="Y3" s="37" t="inlineStr">
        <is>
          <t xml:space="preserve"> </t>
        </is>
      </c>
      <c r="AC3" s="37" t="inlineStr">
        <is>
          <t xml:space="preserve"> </t>
        </is>
      </c>
    </row>
    <row r="4">
      <c r="A4" s="6" t="inlineStr">
        <is>
          <t>Wages period - September 2026</t>
        </is>
      </c>
    </row>
    <row r="5" ht="16.5" customHeight="1">
      <c r="A5" s="33" t="inlineStr">
        <is>
          <t>Sl.No</t>
        </is>
      </c>
      <c r="B5" s="33" t="inlineStr">
        <is>
          <t>Name of the Employee</t>
        </is>
      </c>
      <c r="C5" s="35" t="inlineStr">
        <is>
          <t>Employee Code</t>
        </is>
      </c>
      <c r="D5" s="35" t="inlineStr">
        <is>
          <t>Date of Appointment</t>
        </is>
      </c>
      <c r="E5" s="35" t="inlineStr">
        <is>
          <t xml:space="preserve"> Fixed Rate of wages </t>
        </is>
      </c>
      <c r="F5" s="38" t="n"/>
      <c r="G5" s="38" t="n"/>
      <c r="H5" s="38" t="n"/>
      <c r="I5" s="39" t="n"/>
      <c r="J5" s="35" t="inlineStr">
        <is>
          <t xml:space="preserve"> Actual Wages Sep-26</t>
        </is>
      </c>
      <c r="K5" s="38" t="n"/>
      <c r="L5" s="38" t="n"/>
      <c r="M5" s="38" t="n"/>
      <c r="N5" s="39" t="n"/>
      <c r="O5" s="40" t="inlineStr">
        <is>
          <t>No. of working day</t>
        </is>
      </c>
      <c r="P5" s="40" t="inlineStr">
        <is>
          <t>LOP</t>
        </is>
      </c>
      <c r="Q5" s="40" t="inlineStr">
        <is>
          <t>Employee Effective Workdays</t>
        </is>
      </c>
      <c r="R5" s="35" t="inlineStr">
        <is>
          <t>Wages Earned for Overtime Work</t>
        </is>
      </c>
      <c r="S5" s="35" t="inlineStr">
        <is>
          <t>Gross Wages Payable</t>
        </is>
      </c>
      <c r="T5" s="35" t="inlineStr">
        <is>
          <t xml:space="preserve">Deductions </t>
        </is>
      </c>
      <c r="U5" s="38" t="n"/>
      <c r="V5" s="39" t="n"/>
      <c r="W5" s="35" t="inlineStr">
        <is>
          <t>Actual Wages Paid</t>
        </is>
      </c>
      <c r="X5" s="35" t="inlineStr">
        <is>
          <t>Date of Payment</t>
        </is>
      </c>
      <c r="Y5" s="35" t="inlineStr">
        <is>
          <t>Signature or thumb impresession of the employee</t>
        </is>
      </c>
    </row>
    <row r="6" ht="28.8" customHeight="1">
      <c r="A6" s="41" t="n"/>
      <c r="B6" s="41" t="n"/>
      <c r="C6" s="41" t="n"/>
      <c r="D6" s="41" t="n"/>
      <c r="E6" s="7" t="inlineStr">
        <is>
          <t>Basic</t>
        </is>
      </c>
      <c r="F6" s="8" t="inlineStr">
        <is>
          <t>HRA</t>
        </is>
      </c>
      <c r="G6" s="8" t="inlineStr">
        <is>
          <t>Fixed Personal Allow</t>
        </is>
      </c>
      <c r="H6" s="8" t="inlineStr">
        <is>
          <t>Oth. Allowance</t>
        </is>
      </c>
      <c r="I6" s="8" t="inlineStr">
        <is>
          <t>Gross Salary</t>
        </is>
      </c>
      <c r="J6" s="7" t="inlineStr">
        <is>
          <t>Basic</t>
        </is>
      </c>
      <c r="K6" s="8" t="inlineStr">
        <is>
          <t>HRA</t>
        </is>
      </c>
      <c r="L6" s="8" t="inlineStr">
        <is>
          <t>Fixed Personal Allow</t>
        </is>
      </c>
      <c r="M6" s="8" t="inlineStr">
        <is>
          <t>Oth. Allowance</t>
        </is>
      </c>
      <c r="N6" s="8" t="inlineStr">
        <is>
          <t>Gross Salary</t>
        </is>
      </c>
      <c r="O6" s="41" t="n"/>
      <c r="P6" s="41" t="n"/>
      <c r="Q6" s="41" t="n"/>
      <c r="R6" s="41" t="n"/>
      <c r="S6" s="41" t="n"/>
      <c r="T6" s="8" t="inlineStr">
        <is>
          <t>PF</t>
        </is>
      </c>
      <c r="U6" s="8" t="inlineStr">
        <is>
          <t>ESI</t>
        </is>
      </c>
      <c r="V6" s="8" t="inlineStr">
        <is>
          <t>PT</t>
        </is>
      </c>
      <c r="W6" s="41" t="n"/>
      <c r="X6" s="41" t="n"/>
      <c r="Y6" s="41" t="n"/>
    </row>
    <row r="7">
      <c r="A7" s="9" t="n">
        <v>1</v>
      </c>
      <c r="B7" s="1" t="inlineStr">
        <is>
          <t>B Theertha Vani</t>
        </is>
      </c>
      <c r="C7" s="1" t="inlineStr">
        <is>
          <t>PARI0002</t>
        </is>
      </c>
      <c r="D7" s="19" t="inlineStr">
        <is>
          <t>24 Jan 2017</t>
        </is>
      </c>
      <c r="E7" s="11" t="n">
        <v>6674</v>
      </c>
      <c r="F7" s="11" t="n">
        <v>2669</v>
      </c>
      <c r="G7" s="11" t="n">
        <v>0</v>
      </c>
      <c r="H7" s="11" t="n">
        <v>4004</v>
      </c>
      <c r="I7" s="11">
        <f>SUM(E7:H7)</f>
        <v/>
      </c>
      <c r="J7" s="1" t="n">
        <v>6674</v>
      </c>
      <c r="K7" s="1" t="n">
        <v>2669</v>
      </c>
      <c r="L7" s="1" t="n"/>
      <c r="M7" s="1" t="n">
        <v>4004</v>
      </c>
      <c r="N7" s="11">
        <f>+SUM(J7:M7)</f>
        <v/>
      </c>
      <c r="O7" s="1" t="n">
        <v>30</v>
      </c>
      <c r="P7" s="1" t="n">
        <v>0</v>
      </c>
      <c r="Q7" s="1">
        <f>O7-P7</f>
        <v/>
      </c>
      <c r="R7" s="11" t="n">
        <v>0</v>
      </c>
      <c r="S7" s="11">
        <f>+N7+R7</f>
        <v/>
      </c>
      <c r="T7" s="1" t="n">
        <v>801</v>
      </c>
      <c r="U7" s="1" t="n">
        <v>101</v>
      </c>
      <c r="V7" s="1" t="n">
        <v>0</v>
      </c>
      <c r="W7" s="11">
        <f>+S7-SUM(T7:V7)</f>
        <v/>
      </c>
      <c r="X7" s="20" t="n"/>
      <c r="Y7" s="11" t="n"/>
      <c r="Z7" s="37" t="inlineStr">
        <is>
          <t xml:space="preserve"> </t>
        </is>
      </c>
    </row>
    <row r="195"/>
    <row r="196"/>
    <row r="197"/>
    <row r="198"/>
    <row r="199"/>
    <row r="200" customFormat="1" s="6"/>
  </sheetData>
  <mergeCells count="18">
    <mergeCell ref="A5:A6"/>
    <mergeCell ref="P5:P6"/>
    <mergeCell ref="O5:O6"/>
    <mergeCell ref="S5:S6"/>
    <mergeCell ref="A2:B2"/>
    <mergeCell ref="Q5:Q6"/>
    <mergeCell ref="R5:R6"/>
    <mergeCell ref="T5:V5"/>
    <mergeCell ref="Y5:Y6"/>
    <mergeCell ref="W5:W6"/>
    <mergeCell ref="J2:K2"/>
    <mergeCell ref="J5:N5"/>
    <mergeCell ref="C5:C6"/>
    <mergeCell ref="E5:I5"/>
    <mergeCell ref="A1:B1"/>
    <mergeCell ref="X5:X6"/>
    <mergeCell ref="B5:B6"/>
    <mergeCell ref="D5:D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Shradha G.</dc:creator>
  <dcterms:created xmlns:dcterms="http://purl.org/dc/terms/" xmlns:xsi="http://www.w3.org/2001/XMLSchema-instance" xsi:type="dcterms:W3CDTF">2026-05-09T06:56:00Z</dcterms:created>
  <dcterms:modified xmlns:dcterms="http://purl.org/dc/terms/" xmlns:xsi="http://www.w3.org/2001/XMLSchema-instance" xsi:type="dcterms:W3CDTF">2026-10-17T06:08:20Z</dcterms:modified>
  <cp:lastModifiedBy>Parikar Business and Knowledge Services P Ltd</cp:lastModifiedBy>
  <cp:lastPrinted>2026-08-27T09:44:00Z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FA4E92273E2B4014A16930D5D6DCA3D7_12</vt:lpwstr>
  </property>
  <property name="KSOProductBuildVer" fmtid="{D5CDD505-2E9C-101B-9397-08002B2CF9AE}" pid="3">
    <vt:lpwstr xmlns:vt="http://schemas.openxmlformats.org/officeDocument/2006/docPropsVTypes">1033-12.1.0.28032</vt:lpwstr>
  </property>
  <property name="CalculationRule" fmtid="{D5CDD505-2E9C-101B-9397-08002B2CF9AE}" pid="4">
    <vt:i4 xmlns:vt="http://schemas.openxmlformats.org/officeDocument/2006/docPropsVTypes">0</vt:i4>
  </property>
</Properties>
</file>